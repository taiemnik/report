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Úvod" sheetId="1" r:id="rId5"/>
    <sheet state="visible" name="A.Ekonomika" sheetId="2" r:id="rId6"/>
    <sheet state="visible" name="B.Image" sheetId="3" r:id="rId7"/>
    <sheet state="visible" name="C. Vyvážený rozvoj" sheetId="4" r:id="rId8"/>
    <sheet state="visible" name="D.Soc" sheetId="5" r:id="rId9"/>
    <sheet state="hidden" name="K řešení" sheetId="6" r:id="rId10"/>
  </sheets>
  <definedNames>
    <definedName localSheetId="3" name="Z_0919DC40_70F7_46DB_9F44_D3AE0E183D1A_.wvu.PrintTitles">'C. Vyvážený rozvoj'!$2:$4</definedName>
    <definedName localSheetId="2" name="Z_0919DC40_70F7_46DB_9F44_D3AE0E183D1A_.wvu.PrintArea">B.Image!$A$1:$H$13</definedName>
    <definedName localSheetId="1" name="Z_0919DC40_70F7_46DB_9F44_D3AE0E183D1A_.wvu.PrintTitles">A.Ekonomika!$2:$4</definedName>
    <definedName localSheetId="4" name="Z_0919DC40_70F7_46DB_9F44_D3AE0E183D1A_.wvu.PrintTitles">D.Soc!$2:$4</definedName>
    <definedName localSheetId="3" name="Z_0919DC40_70F7_46DB_9F44_D3AE0E183D1A_.wvu.PrintArea">'C. Vyvážený rozvoj'!$A$1:$H$66</definedName>
    <definedName localSheetId="2" name="Z_0919DC40_70F7_46DB_9F44_D3AE0E183D1A_.wvu.PrintTitles">B.Image!$2:$4</definedName>
    <definedName localSheetId="4" name="Z_0919DC40_70F7_46DB_9F44_D3AE0E183D1A_.wvu.PrintArea">D.Soc!$A$1:$H$19</definedName>
    <definedName localSheetId="1" name="Z_0919DC40_70F7_46DB_9F44_D3AE0E183D1A_.wvu.PrintArea">A.Ekonomika!$A$1:$H$17</definedName>
    <definedName hidden="1" localSheetId="1" name="_xlnm._FilterDatabase">A.Ekonomika!$A$4:$K$30</definedName>
    <definedName hidden="1" localSheetId="2" name="_xlnm._FilterDatabase">B.Image!$A$4:$K$45</definedName>
    <definedName hidden="1" localSheetId="3" name="_xlnm._FilterDatabase">'C. Vyvážený rozvoj'!$A$4:$N$84</definedName>
    <definedName hidden="1" localSheetId="4" name="_xlnm._FilterDatabase">D.Soc!$A$4:$K$19</definedName>
    <definedName hidden="1" localSheetId="1" name="Z_AE12009C_ACD1_4246_A326_D573D205DE1C_.wvu.FilterData">A.Ekonomika!$B$1:$K$1</definedName>
    <definedName hidden="1" localSheetId="2" name="Z_AE12009C_ACD1_4246_A326_D573D205DE1C_.wvu.FilterData">B.Image!$B$1:$L$1</definedName>
    <definedName hidden="1" localSheetId="3" name="Z_AE12009C_ACD1_4246_A326_D573D205DE1C_.wvu.FilterData">'C. Vyvážený rozvoj'!$B$1:$L$1</definedName>
    <definedName hidden="1" localSheetId="4" name="Z_AE12009C_ACD1_4246_A326_D573D205DE1C_.wvu.FilterData">D.Soc!$B$1:$L$1</definedName>
  </definedNames>
  <calcPr/>
  <customWorkbookViews>
    <customWorkbookView activeSheetId="0" maximized="1" windowHeight="0" windowWidth="0" guid="{AE12009C-ACD1-4246-A326-D573D205DE1C}" name="simeckol - vlastní zobrazení"/>
  </customWorkbookViews>
</workbook>
</file>

<file path=xl/sharedStrings.xml><?xml version="1.0" encoding="utf-8"?>
<sst xmlns="http://schemas.openxmlformats.org/spreadsheetml/2006/main" count="1073" uniqueCount="507">
  <si>
    <t>Ekonomika a podnikání</t>
  </si>
  <si>
    <t>Strategický cíl</t>
  </si>
  <si>
    <t>Opatření dle strategického plánu</t>
  </si>
  <si>
    <t>Název aktivity/projektu</t>
  </si>
  <si>
    <t>Odpovědnost</t>
  </si>
  <si>
    <t>Indikátor výsledku</t>
  </si>
  <si>
    <t>Odhad souhrnných nákladů r. 2023</t>
  </si>
  <si>
    <t>Odhad souhrnných nákladů r. 2024</t>
  </si>
  <si>
    <t>Externí spolufinancování - zdroj</t>
  </si>
  <si>
    <t>Vyhodnocení</t>
  </si>
  <si>
    <t>Poznámka</t>
  </si>
  <si>
    <t>příprava</t>
  </si>
  <si>
    <t>realizace</t>
  </si>
  <si>
    <t>A.1 Podnikavost v Kopřivnici</t>
  </si>
  <si>
    <t>A.1.1 Rozšíření nabídky podnikatelských prostor</t>
  </si>
  <si>
    <r>
      <rPr>
        <rFont val="Calibri"/>
        <b/>
        <color theme="1"/>
        <sz val="11.0"/>
      </rPr>
      <t xml:space="preserve">Ringhofferova vila </t>
    </r>
    <r>
      <rPr>
        <rFont val="Calibri"/>
        <color theme="1"/>
        <sz val="11.0"/>
      </rPr>
      <t xml:space="preserve">- řešení vlhkosti suterénních prostor, jejich následná úprava pro zřízení restaurace, úprava PD; vyhledání nájemce/provozovatele </t>
    </r>
  </si>
  <si>
    <t>OMM</t>
  </si>
  <si>
    <t>2023-PD</t>
  </si>
  <si>
    <t>RO</t>
  </si>
  <si>
    <t>zahájeno</t>
  </si>
  <si>
    <t>Vlhkost v suterénu se ustálila, projekt na úpravu prostor bude připravován v roce 2024.</t>
  </si>
  <si>
    <r>
      <rPr>
        <rFont val="Calibri"/>
        <b/>
        <color theme="1"/>
        <sz val="11.0"/>
      </rPr>
      <t>Úprava prostor ve vestibulu MÚ</t>
    </r>
    <r>
      <rPr>
        <rFont val="Calibri"/>
        <b val="0"/>
        <color theme="1"/>
        <sz val="11.0"/>
      </rPr>
      <t xml:space="preserve"> - pracoviště informací, prostory Žirafky, bufet</t>
    </r>
  </si>
  <si>
    <t xml:space="preserve">OMM </t>
  </si>
  <si>
    <t>2023-PD
2024-R</t>
  </si>
  <si>
    <t>R</t>
  </si>
  <si>
    <t>Koncem roku podepsána smlouva se zhotovitelem PD na úpravu přízemí (bufet + informace) + vybudování nového přístupového schodiště. Prostor Žirafky, na základě rozhodnutí vedení, není součátí PD.</t>
  </si>
  <si>
    <t>A.1.2 Spolupráce s MSIC</t>
  </si>
  <si>
    <t>V době zpracování AP není pro nadcházející dvouleté období pro toto opatření, s ohledem na personální a finanční kapacity, plánována žádná významná aktivita.</t>
  </si>
  <si>
    <t>Pro hodnocené období nebyla plánovaná žádná konkrétní aktivita.</t>
  </si>
  <si>
    <t>A.1.3 Podpora vzniku nových podnikatelských aktivit, poradenství a služby pro podnikání</t>
  </si>
  <si>
    <t>Ve spolupráci s NJ probíhala diskuse o možnostech a formách podpory MSK na území obou obcí. Byla zahájena příprava zadání pro společné aktivity obou měst na podporu podnikavosti a rozvoje podnikání.</t>
  </si>
  <si>
    <t>A.1.4 Propagace řemesel a podnikání, zvýšení zájmu o podnikání, vstřícnost města k podnikatelům</t>
  </si>
  <si>
    <t>A.1.5 Motivační program pro podnikatele v centru města</t>
  </si>
  <si>
    <t>Dotační program pro podnikatele v centru města 2022</t>
  </si>
  <si>
    <t>ORM</t>
  </si>
  <si>
    <t>vyplacené dotace</t>
  </si>
  <si>
    <t>splněno</t>
  </si>
  <si>
    <t>Bylo podpořeno 17 provozoven, celkovou dotací 675 tis. Kč.</t>
  </si>
  <si>
    <t>Dotační program pro podnikatele v centru města 2023</t>
  </si>
  <si>
    <t>Bylo podpořeno 19 provozoven, celkovou dotací 950 tis. Kč.</t>
  </si>
  <si>
    <t>A.2 Péče o investory</t>
  </si>
  <si>
    <t>A.2.1 Pravidelná komunikace s podniky</t>
  </si>
  <si>
    <r>
      <rPr>
        <rFont val="Calibri"/>
        <b/>
        <color theme="1"/>
        <sz val="11.0"/>
      </rPr>
      <t xml:space="preserve">Spolupráce v rámci </t>
    </r>
    <r>
      <rPr>
        <rFont val="Calibri"/>
        <b/>
        <color theme="1"/>
        <sz val="11.0"/>
      </rPr>
      <t>Rady pro rozvoj lidských zdrojů</t>
    </r>
  </si>
  <si>
    <t>OVV</t>
  </si>
  <si>
    <t>4 schůzky</t>
  </si>
  <si>
    <r>
      <rPr>
        <rFont val="Calibri"/>
        <b/>
        <color theme="1"/>
        <sz val="11.0"/>
      </rPr>
      <t>Neformální setkání s podnikateli</t>
    </r>
    <r>
      <rPr>
        <rFont val="Calibri"/>
        <b val="0"/>
        <color theme="1"/>
        <sz val="11.0"/>
      </rPr>
      <t xml:space="preserve"> - zajištění vzájemné informovanosti, navázání spolupráce,….</t>
    </r>
  </si>
  <si>
    <t>realizace setkání</t>
  </si>
  <si>
    <t>V říjnu se uskutečnilo setkání vedení města s drobnými podnikateli a setkání s významnějšími zaměstnavateli. Ve spolupráci s agenturou CzechInvest a jejími partnery se uskutečnilo další setkání, tematicky zaměřené na aktuální možnosti dotační a jiné podpory podnikání.</t>
  </si>
  <si>
    <t>A.2.2 Vybudování zázemí průmyslové zóny</t>
  </si>
  <si>
    <t>V rámci připravované akce Odstavná plocha ul. Dělnická (C.2.4 Parkování ve městě) je zvažována výstavba přípravy pro zázemí pro řidiče kamiónů (toalety, sprchy).</t>
  </si>
  <si>
    <t>A.2.3. Nové pozemky/nová lokalita pro průmyslový rozvoj</t>
  </si>
  <si>
    <t>A.2.4 Revitalizace lokality "starého závodu Tatry"</t>
  </si>
  <si>
    <t>A.2.5 Vytváření podmínek pro příchod nových obyvatel do Kopřivnice</t>
  </si>
  <si>
    <t>A.2.6 Vytvoření personálních a organizačních kapacit ve struktuře MÚ</t>
  </si>
  <si>
    <t>A.3 Flexibilní a vzdělaní lidé</t>
  </si>
  <si>
    <t>A.3.1 Rozvoj infrastruktury pro formální, zájmové a neformální vzdělávání</t>
  </si>
  <si>
    <r>
      <rPr>
        <rFont val="Calibri"/>
        <b/>
        <color theme="1"/>
        <sz val="11.0"/>
      </rPr>
      <t xml:space="preserve">ZŠ dr. Horákové - </t>
    </r>
    <r>
      <rPr>
        <rFont val="Calibri"/>
        <b val="0"/>
        <color theme="1"/>
        <sz val="11.0"/>
      </rPr>
      <t xml:space="preserve">rek. </t>
    </r>
    <r>
      <rPr>
        <rFont val="Calibri"/>
        <b/>
        <color theme="1"/>
        <sz val="11.0"/>
      </rPr>
      <t>osvětlení tělocvična + vstupní prostor</t>
    </r>
  </si>
  <si>
    <t>2022-PD
2023-R</t>
  </si>
  <si>
    <t>Dokončena výměna LED osvětlení v tělocvičnách. V lednu 2024 bude vyhlášeno VŘ na úpravu přízemí - součástí bude i výměna vodovodní přípojky a osvětlení chodeb.</t>
  </si>
  <si>
    <r>
      <rPr>
        <rFont val="Calibri"/>
        <b/>
        <color theme="1"/>
        <sz val="11.0"/>
      </rPr>
      <t xml:space="preserve">MŠ Pionýrská - </t>
    </r>
    <r>
      <rPr>
        <rFont val="Calibri"/>
        <b val="0"/>
        <color theme="1"/>
        <sz val="11.0"/>
      </rPr>
      <t xml:space="preserve">rekonstrukce </t>
    </r>
    <r>
      <rPr>
        <rFont val="Calibri"/>
        <b/>
        <color theme="1"/>
        <sz val="11.0"/>
      </rPr>
      <t>rozvodů vody, kanalizace, včetně zdroje tepla</t>
    </r>
  </si>
  <si>
    <t>Probíhá VŘ na zhotovitele. Realizace je předpokládána 05-08/2024. Žádost o připojení tepelného čerpadla byla zamítnuta ČEZ distribuce, z toho důvodu není součástí projektu výměna zdroje vytápění.</t>
  </si>
  <si>
    <r>
      <rPr>
        <rFont val="Calibri"/>
        <b/>
        <color theme="1"/>
        <sz val="11.0"/>
      </rPr>
      <t>DDM Kletné</t>
    </r>
    <r>
      <rPr>
        <rFont val="Calibri"/>
        <b val="0"/>
        <color theme="1"/>
        <sz val="11.0"/>
      </rPr>
      <t xml:space="preserve"> - oprava chatek II. etapa</t>
    </r>
  </si>
  <si>
    <t>realizace akce</t>
  </si>
  <si>
    <t>Před prázdninami bylo vybudováno 15 nových chatek. Společně s dříve realizovanou etapou je v areálu 28 nových chatek.</t>
  </si>
  <si>
    <r>
      <rPr>
        <rFont val="Calibri"/>
        <b/>
        <color theme="1"/>
        <sz val="11.0"/>
      </rPr>
      <t>MŠ 17. listopadu -</t>
    </r>
    <r>
      <rPr>
        <rFont val="Calibri"/>
        <b val="0"/>
        <color theme="1"/>
        <sz val="11.0"/>
      </rPr>
      <t xml:space="preserve"> zvýšení kapacity MŠ</t>
    </r>
  </si>
  <si>
    <t>R+RO</t>
  </si>
  <si>
    <t>V průběhu prázdnin došlo ke stavebním úpravám, v rámci kterých vzniklo další oddělení s kapacitou 23 dětí.</t>
  </si>
  <si>
    <t>A.3.2 Vzdělávání zaměřené na kompetence a individuální přístup, podpora polytechnického vzdělávání</t>
  </si>
  <si>
    <r>
      <rPr>
        <rFont val="Calibri"/>
        <b/>
        <color theme="1"/>
        <sz val="11.0"/>
      </rPr>
      <t>Místní akční plán rozvoje vzdělávání</t>
    </r>
    <r>
      <rPr>
        <rFont val="Calibri"/>
        <b val="0"/>
        <color theme="1"/>
        <sz val="11.0"/>
      </rPr>
      <t xml:space="preserve"> v ORP Kopřivnice III - realizace projektu</t>
    </r>
  </si>
  <si>
    <t>OŠKS</t>
  </si>
  <si>
    <t>realizace projektu</t>
  </si>
  <si>
    <t>Realizace všech aktivit projektu byla dokončena. Zároveň proběhla příprava dalšího, již čtvrtého, navazujícího projektu.</t>
  </si>
  <si>
    <r>
      <rPr>
        <rFont val="Calibri"/>
        <b/>
        <color theme="1"/>
        <sz val="11.0"/>
      </rPr>
      <t>Podpora systematické práce s nadanými dětmi</t>
    </r>
    <r>
      <rPr>
        <rFont val="Calibri"/>
        <b val="0"/>
        <color theme="1"/>
        <sz val="11.0"/>
      </rPr>
      <t xml:space="preserve"> (Klub nadaných dětí BADY, spolupráce s MENSOU a Světem vzdělání, …)</t>
    </r>
  </si>
  <si>
    <t>ZŠ p.o.</t>
  </si>
  <si>
    <t>počet dětí na semin.</t>
  </si>
  <si>
    <t xml:space="preserve">Opakující se akce. </t>
  </si>
  <si>
    <r>
      <rPr>
        <rFont val="Calibri"/>
        <b/>
        <color theme="1"/>
        <sz val="11.0"/>
      </rPr>
      <t xml:space="preserve">Zvyšování kvality ve vzdělávání </t>
    </r>
    <r>
      <rPr>
        <rFont val="Calibri"/>
        <b val="0"/>
        <color theme="1"/>
        <sz val="11.0"/>
      </rPr>
      <t>(aktivity k rozvoji klíčových kompetencí)</t>
    </r>
  </si>
  <si>
    <t>V rámci realizace aktivit MAP je vytvořena pracovní skupina pro rozvoj čtenářské a matematické gramotnosti, v rámci které jsou připravovány aktivity v této oblasti, probíhá diskuse zástupců zapojených škol a jsou přenášeny příklady dobré praxe.</t>
  </si>
  <si>
    <r>
      <rPr>
        <rFont val="Calibri"/>
        <b/>
        <color theme="1"/>
        <sz val="11.0"/>
      </rPr>
      <t>Technicky zaměřené kroužky v DDM</t>
    </r>
    <r>
      <rPr>
        <rFont val="Calibri"/>
        <b val="0"/>
        <color theme="1"/>
        <sz val="11.0"/>
      </rPr>
      <t xml:space="preserve"> - realizace</t>
    </r>
  </si>
  <si>
    <t>DDM</t>
  </si>
  <si>
    <t>realizace kroužků</t>
  </si>
  <si>
    <t>MSK</t>
  </si>
  <si>
    <t>Opakující se akce. V DDM děti navštěvují kroužky Lego I a II, Media klub, Plastikoví a papíroví modeláři, Plastikoví modeláři - pokročilí, Robotika a Kybernetika, Technický kroužek</t>
  </si>
  <si>
    <r>
      <rPr>
        <rFont val="Calibri"/>
        <b/>
        <color theme="1"/>
        <sz val="11.0"/>
      </rPr>
      <t>Podpora aktivit kariérového poradenstv</t>
    </r>
    <r>
      <rPr>
        <rFont val="Calibri"/>
        <b val="0"/>
        <color theme="1"/>
        <sz val="11.0"/>
      </rPr>
      <t xml:space="preserve">í - prezentace SŠ a zaměst. pro žáky 8. a 9. tříd a jejich rodiče </t>
    </r>
  </si>
  <si>
    <t>realizace, poč.účast.</t>
  </si>
  <si>
    <t>Opakující se akce. 8. 11. se uskutečnila přehlídka škol a firem Den tvojí kariéry, 21. 11. - Den otevřených dveří VOSKOP. 11.-12.10. - Přehlídka technických profesí.- Řemeslo má zlaté dno.</t>
  </si>
  <si>
    <t>A.3.3 Zvýšení prestiže místní střední školy</t>
  </si>
  <si>
    <t>Opatření, bude naplňováno dílčími projekty/aktivitami střední školy.</t>
  </si>
  <si>
    <t>A.3.4 Kvalitní nabídka dalšího vzdělávání</t>
  </si>
  <si>
    <r>
      <rPr>
        <rFont val="Calibri"/>
        <b/>
        <color theme="1"/>
        <sz val="11.0"/>
      </rPr>
      <t xml:space="preserve">Edukace v oblasti architektury a estetiky prostředí - </t>
    </r>
    <r>
      <rPr>
        <rFont val="Calibri"/>
        <b val="0"/>
        <color theme="1"/>
        <sz val="11.0"/>
      </rPr>
      <t xml:space="preserve"> vzdělávací program pro děti MŠ</t>
    </r>
  </si>
  <si>
    <t>Pokračování v projektu Architektura do školek. S podporou dotace z MSK proběhly semináře v MŠ I. Šustaly, Česká a Polárka.</t>
  </si>
  <si>
    <r>
      <rPr>
        <rFont val="Calibri"/>
        <b/>
        <color theme="1"/>
        <sz val="11.0"/>
      </rPr>
      <t>Akademie III. věku</t>
    </r>
    <r>
      <rPr>
        <rFont val="Calibri"/>
        <b val="0"/>
        <color theme="1"/>
        <sz val="11.0"/>
      </rPr>
      <t xml:space="preserve"> - zachování případně rozvoj tradičního programu pro seniory</t>
    </r>
  </si>
  <si>
    <t>KDK</t>
  </si>
  <si>
    <t>Opakující se akce. Aktivity realizovány v rámci činnosti příspěvkové organizace Kulturní dům Kopřivnice.</t>
  </si>
  <si>
    <t>Přitažlivost/Image města a veřejný život</t>
  </si>
  <si>
    <t>B.1 Atraktivní a bezpečné prostředí města</t>
  </si>
  <si>
    <t>B.1.1 Revitalizace významných veřejných prostranství mimo centrum města</t>
  </si>
  <si>
    <r>
      <rPr>
        <rFont val="Calibri"/>
        <b/>
        <color theme="1"/>
        <sz val="11.0"/>
      </rPr>
      <t xml:space="preserve">Ul. Školní (býv.Kavárna) - </t>
    </r>
    <r>
      <rPr>
        <rFont val="Calibri"/>
        <b val="0"/>
        <color theme="1"/>
        <sz val="11.0"/>
      </rPr>
      <t>revitalizace veřejného prostranství</t>
    </r>
  </si>
  <si>
    <t>2023- PD</t>
  </si>
  <si>
    <t>IROP</t>
  </si>
  <si>
    <t>Městský architekt zpracoval studii řešení dané lokality, další projektové práce budou probíhat v roce 2024.</t>
  </si>
  <si>
    <r>
      <rPr>
        <rFont val="Calibri"/>
        <b/>
        <color theme="1"/>
        <sz val="11.0"/>
      </rPr>
      <t xml:space="preserve">Revitalizace sídliště Sever - </t>
    </r>
    <r>
      <rPr>
        <rFont val="Calibri"/>
        <b val="0"/>
        <color theme="1"/>
        <sz val="11.0"/>
      </rPr>
      <t xml:space="preserve">plánovací setkání s obyvateli sídliště </t>
    </r>
  </si>
  <si>
    <t>2023 - PD</t>
  </si>
  <si>
    <t>SFPI</t>
  </si>
  <si>
    <t>Proběhlo setkání s obyvateli Sídliště, byly vytipovány tři prioritní lokality pro revitalizaci, proběhlo o nich hlasování veřejnosti, zvítězila lokalita v okolí prodejny Hruška. Další projektová příprava bude probíhat v roce 2024.</t>
  </si>
  <si>
    <t>B.1.2 Rekonstrukce a využití nefungujících, problematických budov ve vlastnictví města</t>
  </si>
  <si>
    <t>S výjimkou opatření vztahujících se k bývalé ZŠ Náměstí B.3.2 a D.3.2 není době zpracování AP pro nadcházející dvouleté období pro toto opatření, s ohledem na personální a finanční kapacity, plánována žádná významná aktivita.</t>
  </si>
  <si>
    <t>B.1.3 Místní kulturní dědictví a jeho využití</t>
  </si>
  <si>
    <r>
      <rPr>
        <rFont val="Calibri"/>
        <b/>
        <color theme="1"/>
        <sz val="11.0"/>
      </rPr>
      <t xml:space="preserve">Raškova hrobka - </t>
    </r>
    <r>
      <rPr>
        <rFont val="Calibri"/>
        <b val="0"/>
        <color theme="1"/>
        <sz val="11.0"/>
      </rPr>
      <t>renovace</t>
    </r>
  </si>
  <si>
    <t>realizace aktivit</t>
  </si>
  <si>
    <t>Dokončeno</t>
  </si>
  <si>
    <r>
      <rPr>
        <rFont val="Calibri"/>
        <b/>
        <color theme="1"/>
        <sz val="11.0"/>
      </rPr>
      <t xml:space="preserve">Šustalova - </t>
    </r>
    <r>
      <rPr>
        <rFont val="Calibri"/>
        <b val="0"/>
        <color theme="1"/>
        <sz val="11.0"/>
      </rPr>
      <t>jednání o zajištění sanačních oprav</t>
    </r>
    <r>
      <rPr>
        <rFont val="Calibri"/>
        <b/>
        <color theme="1"/>
        <sz val="11.0"/>
      </rPr>
      <t xml:space="preserve"> - jednání o majetkoprávních vztazích</t>
    </r>
  </si>
  <si>
    <t>pozastaveno</t>
  </si>
  <si>
    <t>Vlastníci hrobky, kteří pobývali v zahraničí, zemřeli. Dědice nelze v tuto chvíli dohledat. Pokud nebude objekt v příštích několika letech v dědickém řízení, může město požádat o převedení do majetku. V současné době nelze majetkoprávní vztahy řešit.</t>
  </si>
  <si>
    <t>B.2 Centrální zóna = atraktivní živé místo</t>
  </si>
  <si>
    <t>B.2.1 Revitalizace veřejných prostranství navázaných na nově dokončené centrum města</t>
  </si>
  <si>
    <r>
      <rPr>
        <rFont val="Calibri"/>
        <b/>
        <color theme="1"/>
        <sz val="11.0"/>
      </rPr>
      <t>Regenerace sadu E. Beneše</t>
    </r>
    <r>
      <rPr>
        <rFont val="Calibri"/>
        <b val="0"/>
        <color theme="1"/>
        <sz val="11.0"/>
      </rPr>
      <t xml:space="preserve">  - definice zadání v rámci komise pro veř.prostranství</t>
    </r>
  </si>
  <si>
    <t>ORM / OŽP</t>
  </si>
  <si>
    <t>schválený návrh</t>
  </si>
  <si>
    <t>OPŽP, IROP</t>
  </si>
  <si>
    <t>Komise pro architekturu a urbanismus stanovila priority v přípravě revitalizace veřejných prostranství. Sad E. Beneše je jednou z prioritních lokalit.</t>
  </si>
  <si>
    <t>B.2.2 Motivace vlastníků objektů v centru města k pestrému funkčnímu mixu</t>
  </si>
  <si>
    <t xml:space="preserve">V návaznosti na rekonstrukci centra města byl připraven podpůrný program pro vlastníky nemovitostí a provozovatele obchodních jednotek, jehož cílem je podpora opatření směřujících ke zlepšení vzhledu objektů a vizuální prezentace provozoven ve vymezené lokalitě v souladu se schváleným dokumentem Estetika centrum. </t>
  </si>
  <si>
    <t>B.2.3 Podpora a realizace kulturních, sportovních a společenských akcí v centru města</t>
  </si>
  <si>
    <r>
      <rPr>
        <rFont val="Calibri"/>
        <b/>
        <color theme="1"/>
        <sz val="11.0"/>
      </rPr>
      <t>Rekonstrukce centra města</t>
    </r>
    <r>
      <rPr>
        <rFont val="Calibri"/>
        <b val="0"/>
        <color theme="1"/>
        <sz val="11.0"/>
      </rPr>
      <t xml:space="preserve"> - dokončení investiční části projektu</t>
    </r>
  </si>
  <si>
    <t>kolaudace</t>
  </si>
  <si>
    <t>Stavební práce byly dokončeny. Kolaudace proběhne v roce 2024.</t>
  </si>
  <si>
    <t xml:space="preserve">Příprava programu akcí v centru města </t>
  </si>
  <si>
    <t>OŠKS / KDK</t>
  </si>
  <si>
    <t>realizace akcí</t>
  </si>
  <si>
    <t>Od podzimu 2023, kdy byly dokončeny stavební práce proběhlo v centru několik kulturních a společenských akcí. K nim byl využíván i prosklený pavilon. Probíhá příprava programu pro další roky. Byla vytvořena pravidla pro využívání proskleného pavilónu včetně personálního zajištění v rámci OŠKS.</t>
  </si>
  <si>
    <t>B.3 Příležitosti pro trávení volného času</t>
  </si>
  <si>
    <t>B.3.1 Rozvoj a modernizace kulturního domu</t>
  </si>
  <si>
    <r>
      <rPr>
        <rFont val="Calibri"/>
        <b/>
        <color theme="1"/>
        <sz val="11.0"/>
      </rPr>
      <t>KDK</t>
    </r>
    <r>
      <rPr>
        <rFont val="Calibri"/>
        <b val="0"/>
        <color theme="1"/>
        <sz val="11.0"/>
      </rPr>
      <t xml:space="preserve"> - </t>
    </r>
    <r>
      <rPr>
        <rFont val="Calibri"/>
        <b/>
        <color theme="1"/>
        <sz val="11.0"/>
      </rPr>
      <t>řešení požární bezpečnosti</t>
    </r>
  </si>
  <si>
    <t>Jsou prověřována možná technická řešení.</t>
  </si>
  <si>
    <r>
      <rPr>
        <rFont val="Calibri"/>
        <b/>
        <color theme="1"/>
        <sz val="11.0"/>
      </rPr>
      <t>KDK -</t>
    </r>
    <r>
      <rPr>
        <rFont val="Calibri"/>
        <b val="0"/>
        <color theme="1"/>
        <sz val="11.0"/>
      </rPr>
      <t xml:space="preserve"> rekonstrukce </t>
    </r>
    <r>
      <rPr>
        <rFont val="Calibri"/>
        <b/>
        <color theme="1"/>
        <sz val="11.0"/>
      </rPr>
      <t xml:space="preserve">střešních plášťů </t>
    </r>
    <r>
      <rPr>
        <rFont val="Calibri"/>
        <b val="0"/>
        <color theme="1"/>
        <sz val="11.0"/>
      </rPr>
      <t>- realizace</t>
    </r>
  </si>
  <si>
    <t>Stavební práce byly dokončeny.</t>
  </si>
  <si>
    <r>
      <rPr>
        <rFont val="Calibri"/>
        <b/>
        <color theme="1"/>
        <sz val="11.0"/>
      </rPr>
      <t>KDK -</t>
    </r>
    <r>
      <rPr>
        <rFont val="Calibri"/>
        <b val="0"/>
        <color theme="1"/>
        <sz val="11.0"/>
      </rPr>
      <t xml:space="preserve"> oprava schodiště a podesty</t>
    </r>
  </si>
  <si>
    <t>V roce 2023 probíhala projektová příprava, výběrové řízení na dodavatele bude vyhlášeno v I. čtvrtletí 2024.</t>
  </si>
  <si>
    <r>
      <rPr>
        <rFont val="Calibri"/>
        <b/>
        <color theme="1"/>
        <sz val="11.0"/>
      </rPr>
      <t>KDK -</t>
    </r>
    <r>
      <rPr>
        <rFont val="Calibri"/>
        <b val="0"/>
        <color theme="1"/>
        <sz val="11.0"/>
      </rPr>
      <t xml:space="preserve"> rekonstrukce vzduchotechniky (sál, kino)</t>
    </r>
  </si>
  <si>
    <t>2023/24- PD</t>
  </si>
  <si>
    <t>Probíhá projektová příprava výměny VZT pro kinosál. Oprava VZT velkého sálu bude spojena s rekonstrukcí celého objektu.</t>
  </si>
  <si>
    <t>B.3.2 Vytvoření moderní knihovny</t>
  </si>
  <si>
    <r>
      <rPr>
        <rFont val="Calibri"/>
        <b/>
        <color theme="1"/>
        <sz val="11.0"/>
      </rPr>
      <t>ZŠ Náměstí</t>
    </r>
    <r>
      <rPr>
        <rFont val="Calibri"/>
        <b val="0"/>
        <color theme="1"/>
        <sz val="11.0"/>
      </rPr>
      <t xml:space="preserve"> - projednání variant využití, příprava projektu dle rozhodnutí orgánů města</t>
    </r>
  </si>
  <si>
    <t xml:space="preserve">Byla zadána projektová příprava rekonstrukce přístavby na byty. 
Pro historický objekt byla projednána studie jeho rekonstrukce pro potřeby městské knihovny (komunitního centra), která bude podkladem pro další projektové práce, které budou zahájeny v roce 2024. </t>
  </si>
  <si>
    <t>B.3.3 Kvalitní infrastruktura pro sport a trávení volného času</t>
  </si>
  <si>
    <r>
      <rPr>
        <rFont val="Calibri"/>
        <b/>
        <color theme="1"/>
        <sz val="11.0"/>
      </rPr>
      <t>Letní stadion Kopřivnice</t>
    </r>
    <r>
      <rPr>
        <rFont val="Calibri"/>
        <b val="0"/>
        <color theme="1"/>
        <sz val="11.0"/>
      </rPr>
      <t xml:space="preserve"> - I. etapa - rekonstrukce šaten a soc. zařízení </t>
    </r>
  </si>
  <si>
    <t>NSA</t>
  </si>
  <si>
    <r>
      <rPr>
        <rFont val="Calibri"/>
        <b/>
        <color theme="1"/>
        <sz val="11.0"/>
      </rPr>
      <t>LS Kopřivnice</t>
    </r>
    <r>
      <rPr>
        <rFont val="Calibri"/>
        <b val="0"/>
        <color theme="1"/>
        <sz val="11.0"/>
      </rPr>
      <t xml:space="preserve"> II. etapa - rekonstrukce 2.NP, zateplení objektu, výměna kotle</t>
    </r>
  </si>
  <si>
    <t>Realizace II. etapy rekonstrukce objektu byla zahájena z vlastních zdrojů města, zároveň byla podána žádost o dotaci z NSA. Žádost je v procesu hodnocení.</t>
  </si>
  <si>
    <r>
      <rPr>
        <rFont val="Calibri"/>
        <b/>
        <color theme="1"/>
        <sz val="11.0"/>
      </rPr>
      <t xml:space="preserve">Letní koupaliště - </t>
    </r>
    <r>
      <rPr>
        <rFont val="Calibri"/>
        <b val="0"/>
        <color theme="1"/>
        <sz val="11.0"/>
      </rPr>
      <t>rekonstrukce (příprava dílčích etap)</t>
    </r>
  </si>
  <si>
    <t>2022-PD</t>
  </si>
  <si>
    <t>Bylo zadáno zpracování studie řešení rekonstrukce bazénových van a technologie vody. Další projektová příprava bude probíhat v roce 2024. Další fáze realizace projektu převezme ORM.</t>
  </si>
  <si>
    <r>
      <rPr>
        <rFont val="Calibri"/>
        <b/>
        <color theme="1"/>
        <sz val="11.0"/>
      </rPr>
      <t>Větřkovická přehrada -</t>
    </r>
    <r>
      <rPr>
        <rFont val="Calibri"/>
        <b val="0"/>
        <color theme="1"/>
        <sz val="11.0"/>
      </rPr>
      <t xml:space="preserve"> molo</t>
    </r>
  </si>
  <si>
    <t>Instalace mola proběhla, zároveň byla opravena přístupová komunikace do přehrady, v rámci vyčerpání dotace z MSK bude v roce 2024 instalován nový mobiliář.</t>
  </si>
  <si>
    <r>
      <rPr>
        <rFont val="Calibri"/>
        <b/>
        <color theme="1"/>
        <sz val="11.0"/>
      </rPr>
      <t xml:space="preserve">KD Mniší - </t>
    </r>
    <r>
      <rPr>
        <rFont val="Calibri"/>
        <b val="0"/>
        <color theme="1"/>
        <sz val="11.0"/>
      </rPr>
      <t xml:space="preserve">zastřešení venkovní terasy </t>
    </r>
  </si>
  <si>
    <t>nezahájeno</t>
  </si>
  <si>
    <t>Příprava PD byla odložena do roku 2024.</t>
  </si>
  <si>
    <r>
      <rPr>
        <rFont val="Calibri"/>
        <b/>
        <color theme="1"/>
        <sz val="11.0"/>
      </rPr>
      <t xml:space="preserve">KD Mniší - </t>
    </r>
    <r>
      <rPr>
        <rFont val="Calibri"/>
        <b val="0"/>
        <color theme="1"/>
        <sz val="11.0"/>
      </rPr>
      <t>oprava a zateplení střechy - realizace</t>
    </r>
  </si>
  <si>
    <r>
      <rPr>
        <rFont val="Calibri"/>
        <b/>
        <color theme="1"/>
        <sz val="11.0"/>
      </rPr>
      <t xml:space="preserve">Krytý bazén - </t>
    </r>
    <r>
      <rPr>
        <rFont val="Calibri"/>
        <b val="0"/>
        <color theme="1"/>
        <sz val="11.0"/>
      </rPr>
      <t xml:space="preserve">rekonstrukce </t>
    </r>
    <r>
      <rPr>
        <rFont val="Calibri"/>
        <b/>
        <color theme="1"/>
        <sz val="11.0"/>
      </rPr>
      <t>osvětlení</t>
    </r>
    <r>
      <rPr>
        <rFont val="Calibri"/>
        <b val="0"/>
        <color theme="1"/>
        <sz val="11.0"/>
      </rPr>
      <t xml:space="preserve"> </t>
    </r>
  </si>
  <si>
    <t>Předpoklad realizace v průběhu letní odstávky v roce 2024.</t>
  </si>
  <si>
    <r>
      <rPr>
        <rFont val="Calibri"/>
        <b/>
        <color theme="1"/>
        <sz val="11.0"/>
      </rPr>
      <t xml:space="preserve">Zimní stadion - </t>
    </r>
    <r>
      <rPr>
        <rFont val="Calibri"/>
        <b val="0"/>
        <color theme="1"/>
        <sz val="11.0"/>
      </rPr>
      <t>rekonstrukce</t>
    </r>
    <r>
      <rPr>
        <rFont val="Calibri"/>
        <b/>
        <color theme="1"/>
        <sz val="11.0"/>
      </rPr>
      <t xml:space="preserve"> osvětlení</t>
    </r>
  </si>
  <si>
    <t>Stavební práce probíhají. Předpoklad dokončení 21.1.2024.</t>
  </si>
  <si>
    <r>
      <rPr>
        <rFont val="Calibri"/>
        <b/>
        <color theme="1"/>
        <sz val="11.0"/>
      </rPr>
      <t xml:space="preserve">Zimní stadion - </t>
    </r>
    <r>
      <rPr>
        <rFont val="Calibri"/>
        <b val="0"/>
        <color theme="1"/>
        <sz val="11.0"/>
      </rPr>
      <t>výměna oken</t>
    </r>
  </si>
  <si>
    <r>
      <rPr>
        <rFont val="Calibri"/>
        <b/>
        <color theme="1"/>
        <sz val="11.0"/>
      </rPr>
      <t xml:space="preserve">Zimní stadion - </t>
    </r>
    <r>
      <rPr>
        <rFont val="Calibri"/>
        <b val="0"/>
        <color theme="1"/>
        <sz val="11.0"/>
      </rPr>
      <t xml:space="preserve">rekonstrukce </t>
    </r>
    <r>
      <rPr>
        <rFont val="Calibri"/>
        <b/>
        <color theme="1"/>
        <sz val="11.0"/>
      </rPr>
      <t>TZB vč. oprav vnitřních prostor</t>
    </r>
    <r>
      <rPr>
        <rFont val="Calibri"/>
        <b val="0"/>
        <color theme="1"/>
        <sz val="11.0"/>
      </rPr>
      <t xml:space="preserve"> (šatny, soc. zařízení)</t>
    </r>
  </si>
  <si>
    <r>
      <rPr>
        <rFont val="Calibri"/>
        <b/>
        <color theme="1"/>
        <sz val="11.0"/>
      </rPr>
      <t xml:space="preserve">Dětská hřiště - </t>
    </r>
    <r>
      <rPr>
        <rFont val="Calibri"/>
        <b val="0"/>
        <color theme="1"/>
        <sz val="11.0"/>
      </rPr>
      <t>obnova herních prvků, likvidace nevyužívaných ploch</t>
    </r>
  </si>
  <si>
    <t>Opraveno hřiště na Luhách, instalovány workout prvky v areálu bývalého ház.hřiště. Projektuje se hřiště Pod Zahradami. Několik nových herních prvků bude dodáno do parku E.Beneše do konce ledna 2024.</t>
  </si>
  <si>
    <r>
      <rPr>
        <rFont val="Calibri"/>
        <b/>
        <color theme="1"/>
        <sz val="11.0"/>
      </rPr>
      <t xml:space="preserve">Nerezové skluzavky na sídlišti Sever - </t>
    </r>
    <r>
      <rPr>
        <rFont val="Calibri"/>
        <b val="0"/>
        <color theme="1"/>
        <sz val="11.0"/>
      </rPr>
      <t>participativní rozpočet 2021</t>
    </r>
  </si>
  <si>
    <t>Proběhla instalace herních prvků a výsadba stromů k zastínění. Na realizaci byl získán dodatečný dar od společnosti RWE Gas Storage. V roce 2024 bude doplněno lanové zábradlí.</t>
  </si>
  <si>
    <r>
      <rPr>
        <rFont val="Calibri"/>
        <b/>
        <color theme="1"/>
        <sz val="11.0"/>
      </rPr>
      <t xml:space="preserve">Dětské hřiště - ul. Kadláčkova </t>
    </r>
    <r>
      <rPr>
        <rFont val="Calibri"/>
        <b val="0"/>
        <color theme="1"/>
        <sz val="11.0"/>
      </rPr>
      <t>- participativní rozpočet 2022</t>
    </r>
  </si>
  <si>
    <t>Rekonstrukce dětského hřiště vč. instalace herních prvků a úpravy okolí byla dokončena.</t>
  </si>
  <si>
    <r>
      <rPr>
        <rFont val="Calibri"/>
        <b/>
        <color theme="1"/>
        <sz val="11.0"/>
      </rPr>
      <t xml:space="preserve">Fojtství - kuchyňka a soc. zařízení - </t>
    </r>
    <r>
      <rPr>
        <rFont val="Calibri"/>
        <b val="0"/>
        <color theme="1"/>
        <sz val="11.0"/>
      </rPr>
      <t>komplexní rekonstrukce</t>
    </r>
  </si>
  <si>
    <t>Probíhá příprava PD.</t>
  </si>
  <si>
    <r>
      <rPr>
        <rFont val="Calibri"/>
        <b/>
        <color theme="1"/>
        <sz val="11.0"/>
      </rPr>
      <t>Oprava a zprovoznění chaty Červeném kameni -</t>
    </r>
    <r>
      <rPr>
        <rFont val="Calibri"/>
        <b val="0"/>
        <color theme="1"/>
        <sz val="11.0"/>
      </rPr>
      <t xml:space="preserve"> oživení areálu</t>
    </r>
  </si>
  <si>
    <t>OMM / SpSK</t>
  </si>
  <si>
    <t>B.3.4 Atraktivní nabídka kulturních, společenských a sportovních aktivit</t>
  </si>
  <si>
    <r>
      <rPr>
        <rFont val="Calibri"/>
        <b/>
        <color theme="1"/>
        <sz val="11.0"/>
      </rPr>
      <t>Aktivní senior</t>
    </r>
    <r>
      <rPr>
        <rFont val="Calibri"/>
        <b val="0"/>
        <color theme="1"/>
        <sz val="11.0"/>
      </rPr>
      <t xml:space="preserve"> - soubor kulturních sportovních a vzdělávacích akcí pro seniory</t>
    </r>
  </si>
  <si>
    <t>OSV</t>
  </si>
  <si>
    <t>Opakující se akce. Byly realizovány všechny plánované kulturní, společenské a sportovní aktivity pro seniory, které byly doplněny o původně neplánované aktivity partnerů - např. Nemocnice AGEL.</t>
  </si>
  <si>
    <r>
      <rPr>
        <rFont val="Calibri"/>
        <b/>
        <color theme="1"/>
        <sz val="11.0"/>
      </rPr>
      <t>Někdo ven???</t>
    </r>
    <r>
      <rPr>
        <rFont val="Calibri"/>
        <b val="0"/>
        <color theme="1"/>
        <sz val="11.0"/>
      </rPr>
      <t xml:space="preserve"> - realizace prázdninového programu pro děti a mládež</t>
    </r>
  </si>
  <si>
    <t>Opakující se akce. Prázdninový program proběhl, do přípravy a realizace závěrečné prázdninové akce se zapojili i samotní účastníci.</t>
  </si>
  <si>
    <t>B.3.5 Spolupráce mezi aktéry, kteří nabízí volnočasové aktivity a zvýšení informovanosti o volnočasových aktivitách ve městě</t>
  </si>
  <si>
    <t>Uskutečnila se koordinační schůzka zástupců subjektů, které připravují akce pro veřejnost, za účelem koordinace termínů, témat a navázání další spolupráce</t>
  </si>
  <si>
    <t>B.4 Kopřivnice = zajímavá destinace</t>
  </si>
  <si>
    <t>B.4.1 Informační a marketingová podpora cestovního ruchu</t>
  </si>
  <si>
    <t>Opatření, bude naplňováno dílčími projekty/aktivitami informačního centra (KDK).</t>
  </si>
  <si>
    <t xml:space="preserve">Probíhaly práce na novém vizuálním manuálu značky Lašská Brána Beskyd - v užívání od ledna 2024. </t>
  </si>
  <si>
    <t>B.4.2 Zlepšení orientačního a navigačního systému ve městě</t>
  </si>
  <si>
    <t>B.4.3 Rozšíření spolupráce s LBB a DM B-V, aktualizace stávajících a vznik nových cestovních produktů</t>
  </si>
  <si>
    <t xml:space="preserve">Podpora pěší a cykloturistiky:
Hra pro všechny generace Lašský poklad - rozšíření způsobu hraní o mobilní aplikaci.
Výzva Koruna Podbeskydí - rozšíření o soubor doporučených tras k jednotlivým vrcholům. </t>
  </si>
  <si>
    <t>B.4.4 Další rozvoj muzeí a optimalizace jejich správy</t>
  </si>
  <si>
    <r>
      <rPr>
        <rFont val="Calibri"/>
        <b/>
        <color theme="1"/>
        <sz val="11.0"/>
      </rPr>
      <t>Udržení atraktivity Technického muzea</t>
    </r>
    <r>
      <rPr>
        <rFont val="Calibri"/>
        <b val="0"/>
        <color theme="1"/>
        <sz val="11.0"/>
      </rPr>
      <t xml:space="preserve"> - modernizace expozice</t>
    </r>
  </si>
  <si>
    <t>OŠKS / starosta</t>
  </si>
  <si>
    <t>MSK schválil individuální dotaci pro projekt rekonstrukce technického muzea, v průběhu roku probíhala projektová příprava v koordinaci s MSK. Realizace stavby, na kterou naváže instalace nové expozice bude probíhat v létech 2024 - 2025.</t>
  </si>
  <si>
    <r>
      <rPr>
        <rFont val="Calibri"/>
        <b/>
        <color theme="1"/>
        <sz val="11.0"/>
      </rPr>
      <t xml:space="preserve">Úprava předprostoru muzea po Slovenské strele - </t>
    </r>
    <r>
      <rPr>
        <rFont val="Calibri"/>
        <b val="0"/>
        <color theme="1"/>
        <sz val="11.0"/>
      </rPr>
      <t>realizační PD, monitoring dotačních zdrojů na realizaci</t>
    </r>
  </si>
  <si>
    <t>2023-PD,
žádost o dot.</t>
  </si>
  <si>
    <t>Bylo dokončeno zpracování realizační PD a zároveň byla zahájena příprava žádosti o dotaci, která bude podána počátkem roku 2024. Realizace se předpokládá od září 2024.</t>
  </si>
  <si>
    <r>
      <rPr>
        <rFont val="Calibri"/>
        <b/>
        <color theme="1"/>
        <sz val="11.0"/>
      </rPr>
      <t xml:space="preserve">Expozice kopřivnické majoliky </t>
    </r>
    <r>
      <rPr>
        <rFont val="Calibri"/>
        <b val="0"/>
        <color theme="1"/>
        <sz val="11.0"/>
      </rPr>
      <t>- příprava nové expozice</t>
    </r>
    <r>
      <rPr>
        <rFont val="Calibri"/>
        <b/>
        <color theme="1"/>
        <sz val="11.0"/>
      </rPr>
      <t xml:space="preserve"> v Lašském muzeu</t>
    </r>
  </si>
  <si>
    <t>ORM / OŠK</t>
  </si>
  <si>
    <t>IROP, MMR</t>
  </si>
  <si>
    <t>S ohledem na organizační změny v oblasti muzejnictví byla příprava projektu pozastavena do doby dokončení těchto změn.</t>
  </si>
  <si>
    <t>B.4.5 Doplnění stávajících cyklotras a pěších tras v okolí Kopřivnice</t>
  </si>
  <si>
    <r>
      <rPr>
        <rFont val="Calibri"/>
        <color theme="1"/>
        <sz val="11.0"/>
      </rPr>
      <t xml:space="preserve">Cyklistická stezka  </t>
    </r>
    <r>
      <rPr>
        <rFont val="Calibri"/>
        <b/>
        <color theme="1"/>
        <sz val="11.0"/>
      </rPr>
      <t>Vlčovice - Lichnov</t>
    </r>
    <r>
      <rPr>
        <rFont val="Calibri"/>
        <color theme="1"/>
        <sz val="11.0"/>
      </rPr>
      <t xml:space="preserve"> - ověření alternativní trasy</t>
    </r>
  </si>
  <si>
    <t>zpracovaná studie</t>
  </si>
  <si>
    <t>IROP, SFDI</t>
  </si>
  <si>
    <t>Byly vytipovány alternativní trasy, jejíž možné řešení bude předmětem studie, která bude zadána v roce 2024.</t>
  </si>
  <si>
    <t>B.4.6 Vybudování alternativního, jednoduchého ubytování v Kopřivnici</t>
  </si>
  <si>
    <t>B.4.7 Spolupráce subjektů na území města a s okolními městy při tvorbě a zlepšení mediálního obrazu města</t>
  </si>
  <si>
    <t>Vyvážený rozvoj</t>
  </si>
  <si>
    <r>
      <rPr>
        <rFont val="Calibri"/>
        <b/>
        <color theme="1"/>
        <sz val="10.0"/>
      </rPr>
      <t>Odhad souhrnných nákladů</t>
    </r>
    <r>
      <rPr>
        <rFont val="Calibri"/>
        <b/>
        <color rgb="FF000000"/>
        <sz val="10.0"/>
      </rPr>
      <t xml:space="preserve"> r. 2023</t>
    </r>
  </si>
  <si>
    <r>
      <rPr>
        <rFont val="Calibri"/>
        <b/>
        <color theme="1"/>
        <sz val="10.0"/>
      </rPr>
      <t>Odhad souhrnných nákladů</t>
    </r>
    <r>
      <rPr>
        <rFont val="Calibri"/>
        <b/>
        <color rgb="FF000000"/>
        <sz val="10.0"/>
      </rPr>
      <t xml:space="preserve"> r. 2024</t>
    </r>
  </si>
  <si>
    <t xml:space="preserve">Vyhodnocení </t>
  </si>
  <si>
    <t>C.1 Plynulá a bezpečná doprava</t>
  </si>
  <si>
    <t>C1.1 Zvyšování bezpečnosti dopravy</t>
  </si>
  <si>
    <r>
      <rPr>
        <rFont val="Calibri"/>
        <b/>
        <color theme="1"/>
        <sz val="11.0"/>
      </rPr>
      <t>Rekonstrukce mostu M07 - Hřbitovní</t>
    </r>
    <r>
      <rPr>
        <rFont val="Calibri"/>
        <b val="0"/>
        <color theme="1"/>
        <sz val="11.0"/>
      </rPr>
      <t xml:space="preserve"> - realizace</t>
    </r>
  </si>
  <si>
    <t>Stavební práce dokončeny.</t>
  </si>
  <si>
    <r>
      <rPr>
        <rFont val="Calibri"/>
        <b/>
        <color theme="1"/>
        <sz val="11.0"/>
      </rPr>
      <t xml:space="preserve">Rekonstrukce mostu ul. Kpt. Jaroše </t>
    </r>
    <r>
      <rPr>
        <rFont val="Calibri"/>
        <b val="0"/>
        <color theme="1"/>
        <sz val="11.0"/>
      </rPr>
      <t>- realizace</t>
    </r>
  </si>
  <si>
    <t>Z důvodu neočekávaných technických komplikací bylo nutno v průběhu realizace upravit rozsah prací. Po dobu úprav PD byla stavba přerušena. Předpoklad jejího dokončení je 05/2024</t>
  </si>
  <si>
    <r>
      <rPr>
        <rFont val="Calibri"/>
        <b/>
        <color theme="1"/>
        <sz val="11.0"/>
      </rPr>
      <t xml:space="preserve">Rekonstrukce mostu ul. Husova </t>
    </r>
    <r>
      <rPr>
        <rFont val="Calibri"/>
        <b val="0"/>
        <color theme="1"/>
        <sz val="11.0"/>
      </rPr>
      <t>- příprava a realizace akce</t>
    </r>
  </si>
  <si>
    <t>2024-PD</t>
  </si>
  <si>
    <t>Příprava PD byla odložena do roku 2025.</t>
  </si>
  <si>
    <r>
      <rPr>
        <rFont val="Calibri"/>
        <b/>
        <color theme="1"/>
        <sz val="11.0"/>
      </rPr>
      <t xml:space="preserve">Rekonstrukce mostu ul. Erbenova - </t>
    </r>
    <r>
      <rPr>
        <rFont val="Calibri"/>
        <b val="0"/>
        <color theme="1"/>
        <sz val="11.0"/>
      </rPr>
      <t>příprava a realizace akce</t>
    </r>
  </si>
  <si>
    <t>PD dokončena. Předpoklad zahájení VŘ na dodavatele 02/2024, předpoklad realizace stavby 06-10/2024.</t>
  </si>
  <si>
    <r>
      <rPr>
        <rFont val="Calibri"/>
        <b/>
        <color theme="1"/>
        <sz val="11.0"/>
      </rPr>
      <t>Rekonstrukce mostu Lubina - M05</t>
    </r>
    <r>
      <rPr>
        <rFont val="Calibri"/>
        <b val="0"/>
        <color theme="1"/>
        <sz val="11.0"/>
      </rPr>
      <t xml:space="preserve"> - realizace</t>
    </r>
  </si>
  <si>
    <r>
      <rPr>
        <rFont val="Calibri"/>
        <b/>
        <color theme="1"/>
        <sz val="11.0"/>
      </rPr>
      <t>Rekonstrukce mostu Vlčovice - M02</t>
    </r>
    <r>
      <rPr>
        <rFont val="Calibri"/>
        <b val="0"/>
        <color theme="1"/>
        <sz val="11.0"/>
      </rPr>
      <t xml:space="preserve"> - realizace</t>
    </r>
  </si>
  <si>
    <t>Původní PD nebyla odsouhlasena správci sítí, probíhá její nezbytná úprava k vydání stavebního povolení.</t>
  </si>
  <si>
    <r>
      <rPr>
        <rFont val="Calibri"/>
        <b/>
        <color theme="1"/>
        <sz val="11.0"/>
      </rPr>
      <t xml:space="preserve">Most Lubina u KD - </t>
    </r>
    <r>
      <rPr>
        <rFont val="Calibri"/>
        <b val="0"/>
        <color theme="1"/>
        <sz val="11.0"/>
      </rPr>
      <t>bezpečnostní opatření/organizace dopravy - projednání návrhu, příp. projektová příprava dle rozhodnutí</t>
    </r>
  </si>
  <si>
    <t xml:space="preserve">usnesení </t>
  </si>
  <si>
    <t>Zadáno zpracování studie. Výsledky budou k dispozici v lednu 2024. O dalším postupu rozhodne vedení města.</t>
  </si>
  <si>
    <r>
      <rPr>
        <rFont val="Calibri"/>
        <b/>
        <color theme="1"/>
        <sz val="11.0"/>
      </rPr>
      <t>ul. Na Vápenkách -</t>
    </r>
    <r>
      <rPr>
        <rFont val="Calibri"/>
        <b val="0"/>
        <color theme="1"/>
        <sz val="11.0"/>
      </rPr>
      <t xml:space="preserve"> realizace opravy</t>
    </r>
  </si>
  <si>
    <t>Výběrové řízení na dodavatele vyhlášeno 01/2024.</t>
  </si>
  <si>
    <r>
      <rPr>
        <rFont val="Calibri"/>
        <b/>
        <color theme="1"/>
        <sz val="11.0"/>
      </rPr>
      <t>Dopravní studie na ul. Sportovní, Pionýrská a Pod Bílou horou</t>
    </r>
    <r>
      <rPr>
        <rFont val="Calibri"/>
        <b val="0"/>
        <color theme="1"/>
        <sz val="11.0"/>
      </rPr>
      <t xml:space="preserve"> - příprava a realizace dílčích opatření</t>
    </r>
  </si>
  <si>
    <t xml:space="preserve">realizace </t>
  </si>
  <si>
    <t>Došlo k úpravě dopravního režimu na ulici Sportovní a byl připraven návrh celkového zjednosměrnění této ulice směrem na Záhumenní. O realizaci dalších kroků bude rozhodovat vedení města na jaře 2024.</t>
  </si>
  <si>
    <r>
      <rPr>
        <rFont val="Calibri"/>
        <b/>
        <color theme="1"/>
        <sz val="11.0"/>
      </rPr>
      <t>Výstavba okružní křižovatky Záhumenní - kpt. Jaroše</t>
    </r>
    <r>
      <rPr>
        <rFont val="Calibri"/>
        <b val="0"/>
        <color theme="1"/>
        <sz val="11.0"/>
      </rPr>
      <t xml:space="preserve"> - PD</t>
    </r>
  </si>
  <si>
    <t>Projektová příprava je dokončena. S ohledem na nutnost koordinace realizace stavby s dalšími projekty byla realizace projektu odložena do roku 2025.</t>
  </si>
  <si>
    <r>
      <rPr>
        <rFont val="Calibri"/>
        <b/>
        <color theme="1"/>
        <sz val="11.0"/>
      </rPr>
      <t>ul. K Očnímu - zvýšení bezpečnosti chodců a cyklistů</t>
    </r>
    <r>
      <rPr>
        <rFont val="Calibri"/>
        <b val="0"/>
        <color theme="1"/>
        <sz val="11.0"/>
      </rPr>
      <t xml:space="preserve"> - zpomalovací prahy, dopravní značení</t>
    </r>
  </si>
  <si>
    <t>Stavební práce dokončeny. Bude prověřen další krok - úsekové měření v části ulice nad Sluneční.</t>
  </si>
  <si>
    <r>
      <rPr>
        <rFont val="Calibri"/>
        <b/>
        <color theme="1"/>
        <sz val="11.0"/>
      </rPr>
      <t>Pasport komunikací -</t>
    </r>
    <r>
      <rPr>
        <rFont val="Calibri"/>
        <b val="0"/>
        <color theme="1"/>
        <sz val="11.0"/>
      </rPr>
      <t xml:space="preserve"> aktualizace a digitalizace </t>
    </r>
  </si>
  <si>
    <t>Probíhá průběžně měření komunikací a zaznamenávání do T-map.</t>
  </si>
  <si>
    <r>
      <rPr>
        <rFont val="Calibri"/>
        <b/>
        <color theme="1"/>
        <sz val="11.0"/>
      </rPr>
      <t xml:space="preserve">Propojení ulic Severní a Moravská (vč. parkoviště) </t>
    </r>
    <r>
      <rPr>
        <rFont val="Calibri"/>
        <b val="0"/>
        <color theme="1"/>
        <sz val="11.0"/>
      </rPr>
      <t>- příprava projektu</t>
    </r>
  </si>
  <si>
    <t>Probíhá projektová příprava.</t>
  </si>
  <si>
    <t>Rekonstrukce retardéru u Vily Machů a navazující komunikace</t>
  </si>
  <si>
    <t>Realizace stavebních prací proběhla ve IV. čtvrtletí roku 2023.</t>
  </si>
  <si>
    <r>
      <rPr>
        <rFont val="Calibri"/>
        <b/>
        <color theme="1"/>
        <sz val="11.0"/>
      </rPr>
      <t>Křižovatka Palárna</t>
    </r>
    <r>
      <rPr>
        <rFont val="Calibri"/>
        <b val="0"/>
        <color theme="1"/>
        <sz val="11.0"/>
      </rPr>
      <t xml:space="preserve"> - zvýšení bezpečnosti (chodník a přechod)</t>
    </r>
  </si>
  <si>
    <t>Probíhá projektová příprava. Zároveň jsou monitorovány dotační možnosti na realizaci projektu.</t>
  </si>
  <si>
    <t>C.1.2 Obchvat Vlčovic na silnici I/58</t>
  </si>
  <si>
    <r>
      <rPr>
        <rFont val="Calibri"/>
        <b/>
        <color theme="1"/>
        <sz val="11.0"/>
      </rPr>
      <t xml:space="preserve">Silniční propojení PPK </t>
    </r>
    <r>
      <rPr>
        <rFont val="Calibri"/>
        <color theme="1"/>
        <sz val="11.0"/>
      </rPr>
      <t>na plánovanou okružní křižovatku - projektová příprava</t>
    </r>
  </si>
  <si>
    <t>zpracovaná PD</t>
  </si>
  <si>
    <t>Dle aktualizovaného harmonogramu ŘSD je předpokládaný rok zahájení stavby obchvatu r. 2026.</t>
  </si>
  <si>
    <r>
      <rPr>
        <rFont val="Calibri"/>
        <b/>
        <color theme="1"/>
        <sz val="11.0"/>
      </rPr>
      <t xml:space="preserve">Cyklistické napojení PPK </t>
    </r>
    <r>
      <rPr>
        <rFont val="Calibri"/>
        <b val="0"/>
        <color theme="1"/>
        <sz val="11.0"/>
      </rPr>
      <t>- projektová příprava</t>
    </r>
  </si>
  <si>
    <t>Byla dokončena studie řešení. Po výběru projektanta obchvatu ŘSD mu bude tato studie předána k zapracování.</t>
  </si>
  <si>
    <t>C. 2 Alternativní doprava</t>
  </si>
  <si>
    <t>C.2.1 Zlepšení obslužnosti hromadnou dopravou</t>
  </si>
  <si>
    <r>
      <rPr>
        <rFont val="Calibri"/>
        <b/>
        <color theme="1"/>
        <sz val="11.0"/>
      </rPr>
      <t xml:space="preserve">Stavební úpravy autobusových zastávek (ul. Pod stadionem a Tatra vrát. č. 2) - </t>
    </r>
    <r>
      <rPr>
        <rFont val="Calibri"/>
        <b val="0"/>
        <color theme="1"/>
        <sz val="11.0"/>
      </rPr>
      <t>PD</t>
    </r>
  </si>
  <si>
    <t>2024 - PD</t>
  </si>
  <si>
    <t>Aktivita v AP plánovaná pro rok 2024.</t>
  </si>
  <si>
    <r>
      <rPr>
        <rFont val="Calibri"/>
        <b/>
        <color theme="1"/>
        <sz val="11.0"/>
      </rPr>
      <t>Zastávka Vlčovice rozcestí - zastřešení</t>
    </r>
    <r>
      <rPr>
        <rFont val="Calibri"/>
        <b val="0"/>
        <color theme="1"/>
        <sz val="11.0"/>
      </rPr>
      <t xml:space="preserve"> - realizace</t>
    </r>
  </si>
  <si>
    <t>Zastřešení bylo instalováno.</t>
  </si>
  <si>
    <r>
      <rPr>
        <rFont val="Calibri"/>
        <b/>
        <color theme="1"/>
        <sz val="11.0"/>
      </rPr>
      <t xml:space="preserve">Cyklobus/Skibus Beskydy (na Bílou) - </t>
    </r>
    <r>
      <rPr>
        <rFont val="Calibri"/>
        <b val="0"/>
        <color theme="1"/>
        <sz val="11.0"/>
      </rPr>
      <t>spoluúčast na provozních nákladech</t>
    </r>
  </si>
  <si>
    <t>Uzavřena nová společná smlouva.</t>
  </si>
  <si>
    <r>
      <rPr>
        <rFont val="Calibri"/>
        <b/>
        <color theme="1"/>
        <sz val="11.0"/>
      </rPr>
      <t xml:space="preserve">Podpora sdílení dopravních prostředků na území města </t>
    </r>
    <r>
      <rPr>
        <rFont val="Calibri"/>
        <b val="0"/>
        <color theme="1"/>
        <sz val="11.0"/>
      </rPr>
      <t>- spolupráce se soukromým provozovatelem</t>
    </r>
  </si>
  <si>
    <t>Ve spolupráci s NJ proběhla jednání k možnosti zavedení sdílených jízdních kol do obou měst.</t>
  </si>
  <si>
    <r>
      <rPr>
        <rFont val="Calibri"/>
        <b/>
        <color theme="1"/>
        <sz val="11.0"/>
      </rPr>
      <t>Autobusová linka na vlakové nádraží v Hranicích</t>
    </r>
    <r>
      <rPr>
        <rFont val="Calibri"/>
        <b val="0"/>
        <color theme="1"/>
        <sz val="11.0"/>
      </rPr>
      <t xml:space="preserve"> - spolupráce s okolními obcemi a MSK - provoz pravidelných spojů</t>
    </r>
  </si>
  <si>
    <t xml:space="preserve">Opakující se akce. Ve spolupráci s městy Nový Jičín a Příbor byla zavedena linka k vlakům v Hranicích. Spolupráce bude pokračovat i v roce 2024. </t>
  </si>
  <si>
    <t>C.2.2 Inkluzivní mobilita</t>
  </si>
  <si>
    <t>V návaznosti na partnerství v projektu Zapojení veřejnosti do rozvoje obce byla realizována anketa ke zjištění zájmu veřejnosti o zavedení linek MHD.</t>
  </si>
  <si>
    <t>C.2.3 Alternativy k automobilové dopravě</t>
  </si>
  <si>
    <r>
      <rPr>
        <rFont val="Calibri"/>
        <color theme="1"/>
        <sz val="11.0"/>
      </rPr>
      <t>Podpora cyklodopravy -</t>
    </r>
    <r>
      <rPr>
        <rFont val="Calibri"/>
        <b/>
        <color theme="1"/>
        <sz val="11.0"/>
      </rPr>
      <t xml:space="preserve"> mobiliář (….....), </t>
    </r>
    <r>
      <rPr>
        <rFont val="Calibri"/>
        <color theme="1"/>
        <sz val="11.0"/>
      </rPr>
      <t>značení, kampaň …</t>
    </r>
  </si>
  <si>
    <t>Zadána opatření směřující k větší informovanosti o cykloboxech za budovou MÚ - v roce 2024 proběhne instalace směrovníků a bude zpracován videoklip, dále byla zpracována PD pro stanovení dopravního značení pro cyklisty ul.kpt Jaroše-okružní křižovatka OMxČSA.</t>
  </si>
  <si>
    <r>
      <rPr>
        <rFont val="Calibri"/>
        <color theme="1"/>
        <sz val="11.0"/>
      </rPr>
      <t xml:space="preserve">Chodník </t>
    </r>
    <r>
      <rPr>
        <rFont val="Calibri"/>
        <b/>
        <color theme="1"/>
        <sz val="11.0"/>
      </rPr>
      <t>ul. Janáčkova</t>
    </r>
    <r>
      <rPr>
        <rFont val="Calibri"/>
        <color theme="1"/>
        <sz val="11.0"/>
      </rPr>
      <t xml:space="preserve"> - příprava opatření k zajištění bezpečného pohybu chodců v lokalitě</t>
    </r>
  </si>
  <si>
    <t>ORM / OMM</t>
  </si>
  <si>
    <t>příprava akce</t>
  </si>
  <si>
    <t>Projednání alternativy podél trati.</t>
  </si>
  <si>
    <r>
      <rPr>
        <rFont val="Calibri"/>
        <color theme="1"/>
        <sz val="11.0"/>
      </rPr>
      <t xml:space="preserve">Chodník </t>
    </r>
    <r>
      <rPr>
        <rFont val="Calibri"/>
        <b/>
        <color theme="1"/>
        <sz val="11.0"/>
      </rPr>
      <t>Ul. Severní</t>
    </r>
    <r>
      <rPr>
        <rFont val="Calibri"/>
        <color theme="1"/>
        <sz val="11.0"/>
      </rPr>
      <t xml:space="preserve"> - úprava a doplnění chodníkového tělesa a VO</t>
    </r>
  </si>
  <si>
    <r>
      <rPr>
        <rFont val="Calibri"/>
        <color theme="1"/>
        <sz val="11.0"/>
      </rPr>
      <t xml:space="preserve">Stavební úprava slepé části </t>
    </r>
    <r>
      <rPr>
        <rFont val="Calibri"/>
        <b/>
        <color theme="1"/>
        <sz val="11.0"/>
      </rPr>
      <t>ulice Zd.Buriana před MŠ Jeřabinka</t>
    </r>
    <r>
      <rPr>
        <rFont val="Calibri"/>
        <color theme="1"/>
        <sz val="11.0"/>
      </rPr>
      <t xml:space="preserve"> (parkování, chodník, VO) - projednání způsobu řešení, PD</t>
    </r>
  </si>
  <si>
    <r>
      <rPr>
        <rFont val="Calibri"/>
        <b/>
        <color theme="1"/>
        <sz val="11.0"/>
      </rPr>
      <t xml:space="preserve">Chodník Lubina </t>
    </r>
    <r>
      <rPr>
        <rFont val="Calibri"/>
        <color theme="1"/>
        <sz val="11.0"/>
      </rPr>
      <t>- lokalita od HZ Větřkovice k točně (směr Hájov)</t>
    </r>
  </si>
  <si>
    <r>
      <rPr>
        <rFont val="Calibri"/>
        <b/>
        <color theme="1"/>
        <sz val="11.0"/>
      </rPr>
      <t>Ul. Štefánikova</t>
    </r>
    <r>
      <rPr>
        <rFont val="Calibri"/>
        <color theme="1"/>
        <sz val="11.0"/>
      </rPr>
      <t xml:space="preserve"> - příprava komplexní rekonstrukce (úsek od vily Machů před MÚ) - definice zadání v rámci komise pro VP</t>
    </r>
  </si>
  <si>
    <t>schválené zadání</t>
  </si>
  <si>
    <t>Komise pro architekturu a urbanismus stanovila priority v oblasti rekonstrukce veřejného prostranství. Jedná se o prioritní projekt, jehož příprava/studie by měla být zahájena v roce 2024.</t>
  </si>
  <si>
    <r>
      <rPr>
        <rFont val="Calibri"/>
        <b/>
        <color theme="1"/>
        <sz val="11.0"/>
      </rPr>
      <t>Chodník Mniší</t>
    </r>
    <r>
      <rPr>
        <rFont val="Calibri"/>
        <color theme="1"/>
        <sz val="11.0"/>
      </rPr>
      <t xml:space="preserve"> - III. etapa (od školy ve směru na Hukvaldy)</t>
    </r>
  </si>
  <si>
    <t>C.2.4 Parkování ve městě</t>
  </si>
  <si>
    <r>
      <rPr>
        <rFont val="Calibri"/>
        <b/>
        <color theme="1"/>
        <sz val="11.0"/>
      </rPr>
      <t>Intenzifikace parkování</t>
    </r>
    <r>
      <rPr>
        <rFont val="Calibri"/>
        <b val="0"/>
        <color theme="1"/>
        <sz val="11.0"/>
      </rPr>
      <t>/změna organizace dopravy ve vybraných lokalitách - realizace dílčích opatření</t>
    </r>
  </si>
  <si>
    <t>OMM / ORM</t>
  </si>
  <si>
    <t>realizace opatření</t>
  </si>
  <si>
    <t xml:space="preserve">Byla připravena PD úpravy dopravního značení u BD Masarykovo nám. 650. Realizace proběhne v roce 2024. Dále byl aktualizován průzkum statické dopravy a zadána realizace sdílené zóny okolo MěÚ Kopřivnice. </t>
  </si>
  <si>
    <r>
      <rPr>
        <rFont val="Calibri"/>
        <b/>
        <color theme="1"/>
        <sz val="11.0"/>
      </rPr>
      <t xml:space="preserve">Parkování ul. Obránců míru - </t>
    </r>
    <r>
      <rPr>
        <rFont val="Calibri"/>
        <b val="0"/>
        <color theme="1"/>
        <sz val="11.0"/>
      </rPr>
      <t xml:space="preserve">za č.p. 761 </t>
    </r>
    <r>
      <rPr>
        <rFont val="Calibri"/>
        <b/>
        <color theme="1"/>
        <sz val="11.0"/>
      </rPr>
      <t xml:space="preserve">- </t>
    </r>
    <r>
      <rPr>
        <rFont val="Calibri"/>
        <b val="0"/>
        <color theme="1"/>
        <sz val="11.0"/>
      </rPr>
      <t xml:space="preserve">úprava zpevněných ploch - realizace </t>
    </r>
  </si>
  <si>
    <t>Stavební práce byly dokončeny. Byla upravena plocha pro 24 parkovacích míst.</t>
  </si>
  <si>
    <r>
      <rPr>
        <rFont val="Calibri"/>
        <b/>
        <color theme="1"/>
        <sz val="11.0"/>
      </rPr>
      <t xml:space="preserve">Parkoviště ul. Školní - </t>
    </r>
    <r>
      <rPr>
        <rFont val="Calibri"/>
        <b val="0"/>
        <color theme="1"/>
        <sz val="11.0"/>
      </rPr>
      <t>realizace opatření Dopravní studie na ul. Sportovní, Pionýrská a Pod Bílou horou</t>
    </r>
  </si>
  <si>
    <t>2023-přeložka
2024-real.</t>
  </si>
  <si>
    <t>OPŽP</t>
  </si>
  <si>
    <t>V návaznosti na projektovou přípravu byla podána žádost o dotaci. Ta splnila formální i věcné požadavky a nyní čekáme na vydání rozhodnutí o poskytnutí dotace.</t>
  </si>
  <si>
    <r>
      <rPr>
        <rFont val="Calibri"/>
        <b/>
        <color theme="1"/>
        <sz val="11.0"/>
      </rPr>
      <t>Rozšíření parkovacích ploch u krytého bazénu -</t>
    </r>
    <r>
      <rPr>
        <rFont val="Calibri"/>
        <b val="0"/>
        <color theme="1"/>
        <sz val="11.0"/>
      </rPr>
      <t xml:space="preserve"> řešení majetkových vztahů s MSK, příprava PD</t>
    </r>
  </si>
  <si>
    <t>MSK připravuje rekonstrukci kuchyně průmyslové školy, po dokončení studie bude moci kraj specifikovat pozemky, které může uvolnit pro výstavbu parkoviště.</t>
  </si>
  <si>
    <r>
      <rPr>
        <rFont val="Calibri"/>
        <b/>
        <color theme="1"/>
        <sz val="11.0"/>
      </rPr>
      <t>Řešení parkování na sídlišti Sever</t>
    </r>
    <r>
      <rPr>
        <rFont val="Calibri"/>
        <b val="0"/>
        <color theme="1"/>
        <sz val="11.0"/>
      </rPr>
      <t xml:space="preserve"> - realizace dílčích projektů - dočasná parkovací plocha vedle hřiště ZŠ 17. listopadu</t>
    </r>
  </si>
  <si>
    <t>Stavební práce byly z důvodu klimatických podmínek přerušeny, předpoklad jejich dokončení je 02-03/2024.</t>
  </si>
  <si>
    <r>
      <rPr>
        <rFont val="Calibri"/>
        <b/>
        <color theme="1"/>
        <sz val="11.0"/>
      </rPr>
      <t>Etážové stání n</t>
    </r>
    <r>
      <rPr>
        <rFont val="Calibri"/>
        <b val="0"/>
        <color theme="1"/>
        <sz val="11.0"/>
      </rPr>
      <t>a sídlišti Sever</t>
    </r>
  </si>
  <si>
    <t>Na základě provedeného cenového průzkumu jinde realizovaných obdobných projektů a s ohledem na zahájení projektové přípravy dalších prioritních finančně náročných projektů, navrhujeme tento projekt odložit. Pro lokalitu sídliště je připravováno rozšíření parkování v rámci propojení ulic Severní a Moravská.</t>
  </si>
  <si>
    <r>
      <rPr>
        <rFont val="Calibri"/>
        <b/>
        <color theme="1"/>
        <sz val="11.0"/>
      </rPr>
      <t xml:space="preserve">Odstavná plocha pro nákladní vozidla </t>
    </r>
    <r>
      <rPr>
        <rFont val="Calibri"/>
        <b val="0"/>
        <color theme="1"/>
        <sz val="11.0"/>
      </rPr>
      <t>- ul. Dělnická/Panská</t>
    </r>
  </si>
  <si>
    <t>V rámci přípravy projektu probíhala jednání se zástupci společnosti Tatra Trucks k zajištění potřebných pozemků na realizaci projektu. Samotná příprava PD bude zadána v roce 2024.</t>
  </si>
  <si>
    <r>
      <rPr>
        <rFont val="Calibri"/>
        <b/>
        <color theme="1"/>
        <sz val="11.0"/>
      </rPr>
      <t xml:space="preserve">Parkovitě pod Bílou horou - </t>
    </r>
    <r>
      <rPr>
        <rFont val="Calibri"/>
        <b val="0"/>
        <color theme="1"/>
        <sz val="11.0"/>
      </rPr>
      <t>prověření realizovatelnosti</t>
    </r>
  </si>
  <si>
    <t>2023 - studie</t>
  </si>
  <si>
    <t>Na základě odborem zpracovaných podkladů rozhodlo vedení města o nepokračování prací na tomto projektu.</t>
  </si>
  <si>
    <r>
      <rPr>
        <rFont val="Calibri"/>
        <b/>
        <color theme="1"/>
        <sz val="11.0"/>
      </rPr>
      <t xml:space="preserve">Parkoviště Dukelská - </t>
    </r>
    <r>
      <rPr>
        <rFont val="Calibri"/>
        <b val="0"/>
        <color theme="1"/>
        <sz val="11.0"/>
      </rPr>
      <t>demolice VS, výstavba parkoviště - příprava a realizace</t>
    </r>
  </si>
  <si>
    <t>Výstavbu nové trafostanice plánuje ČEZ pro rok 2025, následně bude možno objekt zdemolovat a plochu připravit pro výstavbu parkoviště.</t>
  </si>
  <si>
    <t>C.3 Příležitosti pro bydlení</t>
  </si>
  <si>
    <t>C.3.1 Investice do bytového fondu v majetku města</t>
  </si>
  <si>
    <r>
      <rPr>
        <rFont val="Calibri"/>
        <b/>
        <color theme="1"/>
        <sz val="11.0"/>
      </rPr>
      <t xml:space="preserve">BD Francouzská 1197 </t>
    </r>
    <r>
      <rPr>
        <rFont val="Calibri"/>
        <b val="0"/>
        <color theme="1"/>
        <sz val="11.0"/>
      </rPr>
      <t>- úprava nebyt. prostor v I.NP na bytové jednotky</t>
    </r>
  </si>
  <si>
    <t>Stavební práce dokončeny, z nebytových prostor vznikly 3 nové bytové jednotky.</t>
  </si>
  <si>
    <r>
      <rPr>
        <rFont val="Calibri"/>
        <b/>
        <color theme="1"/>
        <sz val="11.0"/>
      </rPr>
      <t xml:space="preserve">DPS 320 - </t>
    </r>
    <r>
      <rPr>
        <rFont val="Calibri"/>
        <b val="0"/>
        <color theme="1"/>
        <sz val="11.0"/>
      </rPr>
      <t>postupná obnova vnitřního zařízení</t>
    </r>
  </si>
  <si>
    <t>Obnova 4 bytových jednotek byla zahájena v 01/2024, v druhé polovině roku 2024 je počítáno s další vlnou oprav, dle počtu uvolněných bytů.</t>
  </si>
  <si>
    <r>
      <rPr>
        <rFont val="Calibri"/>
        <b/>
        <color theme="1"/>
        <sz val="11.0"/>
      </rPr>
      <t>BD Alšova 1143</t>
    </r>
    <r>
      <rPr>
        <rFont val="Calibri"/>
        <b val="0"/>
        <color theme="1"/>
        <sz val="11.0"/>
      </rPr>
      <t xml:space="preserve"> - sanace suterénu</t>
    </r>
  </si>
  <si>
    <t>Dokončeny odkopy a venkovní hydroizolace objektu 1143, nutno pokračovat i u sousedního objektu. Odbor monitoruje stav vlhkosti suterénu. Po vyschnutí zdiva dojde k sanaci vnitřních prostor.</t>
  </si>
  <si>
    <r>
      <rPr>
        <rFont val="Calibri"/>
        <b/>
        <color theme="1"/>
        <sz val="11.0"/>
      </rPr>
      <t xml:space="preserve">BD Školní 891 - </t>
    </r>
    <r>
      <rPr>
        <rFont val="Calibri"/>
        <b val="0"/>
        <color theme="1"/>
        <sz val="11.0"/>
      </rPr>
      <t>oprava střechy</t>
    </r>
  </si>
  <si>
    <t>Probíhá VŘ na zhotovitele PD.</t>
  </si>
  <si>
    <t>C.3.2 Rozšíření nabídky bydlení v bytových domech</t>
  </si>
  <si>
    <r>
      <rPr>
        <rFont val="Calibri"/>
        <b/>
        <color theme="1"/>
        <sz val="11.0"/>
      </rPr>
      <t>Rozvojová lokalita Kopřivnice Západ</t>
    </r>
    <r>
      <rPr>
        <rFont val="Calibri"/>
        <b val="0"/>
        <color theme="1"/>
        <sz val="11.0"/>
      </rPr>
      <t xml:space="preserve"> - rozvoj území ve spolupráci se soukromým investorem, výběr investora</t>
    </r>
  </si>
  <si>
    <t>uzavřená smlouva</t>
  </si>
  <si>
    <t>Jednání s developerem je v patové situaci.</t>
  </si>
  <si>
    <r>
      <rPr>
        <rFont val="Calibri"/>
        <b/>
        <color theme="1"/>
        <sz val="11.0"/>
      </rPr>
      <t xml:space="preserve">Rozvojová lokalita Dolní Roličky - </t>
    </r>
    <r>
      <rPr>
        <rFont val="Calibri"/>
        <b val="0"/>
        <color theme="1"/>
        <sz val="11.0"/>
      </rPr>
      <t>pokračování v jednáních se zájemcem, výběr investora, popř. příprava regulačního plánu</t>
    </r>
  </si>
  <si>
    <t>OMM / SUP</t>
  </si>
  <si>
    <t>Předpokládá se, že v průběhu roku 2024 bude probíhat příprava nových podmínek pro výběr investora.</t>
  </si>
  <si>
    <r>
      <rPr>
        <rFont val="Calibri"/>
        <b/>
        <color theme="1"/>
        <sz val="11.0"/>
      </rPr>
      <t>ZŠ Náměstí</t>
    </r>
    <r>
      <rPr>
        <rFont val="Calibri"/>
        <b val="0"/>
        <color theme="1"/>
        <sz val="11.0"/>
      </rPr>
      <t xml:space="preserve"> - příprava projektu rekonstrukce přístavby školy na byty - PD</t>
    </r>
  </si>
  <si>
    <t>2022-PD
2023+ - R</t>
  </si>
  <si>
    <t>Probíhá zpracování PD, zároveň jsou monitorovány dotační možnosti.</t>
  </si>
  <si>
    <t>C.3.3 Podpora individuální bytové výstavby</t>
  </si>
  <si>
    <t>Změna Územního plánu Kopřivnice</t>
  </si>
  <si>
    <t>SUP</t>
  </si>
  <si>
    <t>usnesení ZM</t>
  </si>
  <si>
    <r>
      <rPr>
        <rFont val="Calibri"/>
        <b/>
        <color theme="1"/>
        <sz val="11.0"/>
      </rPr>
      <t xml:space="preserve">Podpora individuální bytové výstavby - </t>
    </r>
    <r>
      <rPr>
        <rFont val="Calibri"/>
        <b val="0"/>
        <color theme="1"/>
        <sz val="11.0"/>
      </rPr>
      <t>dotační program</t>
    </r>
  </si>
  <si>
    <t>dotační program</t>
  </si>
  <si>
    <t>R + RO</t>
  </si>
  <si>
    <t xml:space="preserve">V průběhu roku probíhal příjem žádostí o podporu. </t>
  </si>
  <si>
    <r>
      <rPr>
        <rFont val="Calibri"/>
        <b/>
        <color theme="1"/>
        <sz val="11.0"/>
      </rPr>
      <t>Systémová spolupráce se stavebníky a investory</t>
    </r>
    <r>
      <rPr>
        <rFont val="Calibri"/>
        <b val="0"/>
        <color theme="1"/>
        <sz val="11.0"/>
      </rPr>
      <t xml:space="preserve"> - uplatňování zájmů města z hlediska urbanismu a dopravní dostupnosti lokalit</t>
    </r>
  </si>
  <si>
    <t>spolupráce s investory</t>
  </si>
  <si>
    <t>V průběhu roku probíhala jednání se zájemci o výstavbu v lokalitách Dolní Roličky a Kopřivnice Západ.</t>
  </si>
  <si>
    <t>C.3.4 Dostupné bydlení pro osoby v bytové nouzi</t>
  </si>
  <si>
    <r>
      <rPr>
        <rFont val="Calibri"/>
        <b/>
        <color theme="1"/>
        <sz val="11.0"/>
      </rPr>
      <t xml:space="preserve">Revize stávajících Pravidel hospodaření s byty ve vlastnictví města </t>
    </r>
    <r>
      <rPr>
        <rFont val="Calibri"/>
        <b val="0"/>
        <color theme="1"/>
        <sz val="11.0"/>
      </rPr>
      <t>(vazba na Koncepci bydlení)</t>
    </r>
  </si>
  <si>
    <t>OMM / OSVZ</t>
  </si>
  <si>
    <t>usnesení</t>
  </si>
  <si>
    <t>Probíhá</t>
  </si>
  <si>
    <r>
      <rPr>
        <rFont val="Calibri"/>
        <b/>
        <color theme="1"/>
        <sz val="11.0"/>
      </rPr>
      <t>Provedení mapování konkrétních potřeb zajištění bydlení u osob bez přístřeší</t>
    </r>
    <r>
      <rPr>
        <rFont val="Calibri"/>
        <b val="0"/>
        <color theme="1"/>
        <sz val="11.0"/>
      </rPr>
      <t xml:space="preserve"> (vazba na KPSS)</t>
    </r>
  </si>
  <si>
    <t>OSVZ</t>
  </si>
  <si>
    <t>zpráva</t>
  </si>
  <si>
    <t>Mapování bylo realizováno, byla zpracována závěrečná zpráva.</t>
  </si>
  <si>
    <r>
      <rPr>
        <rFont val="Calibri"/>
        <b/>
        <color theme="1"/>
        <sz val="11.0"/>
      </rPr>
      <t xml:space="preserve">Ubytovna pod ČK - </t>
    </r>
    <r>
      <rPr>
        <rFont val="Calibri"/>
        <b val="0"/>
        <color theme="1"/>
        <sz val="11.0"/>
      </rPr>
      <t>rekonstrukce sociálních zařízení</t>
    </r>
  </si>
  <si>
    <t>Dokončena rekonstrukce 3. a 4. NP, v roce 2024 bude pokračovat rekonstrukce ve 2. NP.</t>
  </si>
  <si>
    <t>C.4 Technická infrastruktura</t>
  </si>
  <si>
    <t>C.4.1 Kvalitní páteřní technická infrastruktura</t>
  </si>
  <si>
    <r>
      <rPr>
        <rFont val="Calibri"/>
        <b/>
        <color theme="1"/>
        <sz val="11.0"/>
      </rPr>
      <t>Ul. Západní</t>
    </r>
    <r>
      <rPr>
        <rFont val="Calibri"/>
        <b val="0"/>
        <color theme="1"/>
        <sz val="11.0"/>
      </rPr>
      <t xml:space="preserve"> - vybudování technické infrastruktury - PD + realizace</t>
    </r>
  </si>
  <si>
    <t>Pozastaveno z důvodu přerušení jednání s možným investorem v lokalitě Západ.</t>
  </si>
  <si>
    <r>
      <rPr>
        <rFont val="Calibri"/>
        <b/>
        <color theme="1"/>
        <sz val="11.0"/>
      </rPr>
      <t>Odkanalizování MČ Vlčovice a Mniší</t>
    </r>
    <r>
      <rPr>
        <rFont val="Calibri"/>
        <b val="0"/>
        <color theme="1"/>
        <sz val="11.0"/>
      </rPr>
      <t xml:space="preserve"> - dokončení projektu, vyúčtování dotace</t>
    </r>
  </si>
  <si>
    <t>Stavební práce byly dokončeny, probíhá monitorování projektu v souladu s dotačními podmínkami.</t>
  </si>
  <si>
    <r>
      <rPr>
        <rFont val="Calibri"/>
        <b/>
        <color theme="1"/>
        <sz val="11.0"/>
      </rPr>
      <t>Dostavba splaškové kanalizace</t>
    </r>
    <r>
      <rPr>
        <rFont val="Calibri"/>
        <b val="0"/>
        <color theme="1"/>
        <sz val="11.0"/>
      </rPr>
      <t xml:space="preserve"> - příprava projektu</t>
    </r>
    <r>
      <rPr>
        <rFont val="Calibri"/>
        <b/>
        <color theme="1"/>
        <sz val="11.0"/>
      </rPr>
      <t xml:space="preserve"> Lubina/Mniší</t>
    </r>
  </si>
  <si>
    <t>Rozhodnuto o výběru zhotovitele PD.</t>
  </si>
  <si>
    <r>
      <rPr>
        <rFont val="Calibri"/>
        <color theme="1"/>
        <sz val="11.0"/>
      </rPr>
      <t xml:space="preserve">Převedení jednotné </t>
    </r>
    <r>
      <rPr>
        <rFont val="Calibri"/>
        <b/>
        <color theme="1"/>
        <sz val="11.0"/>
      </rPr>
      <t>kanalizace v MČ</t>
    </r>
    <r>
      <rPr>
        <rFont val="Calibri"/>
        <color theme="1"/>
        <sz val="11.0"/>
      </rPr>
      <t xml:space="preserve"> do režimu dešťové - kontrola stávajícího stavu</t>
    </r>
  </si>
  <si>
    <t>OMM / OŽP</t>
  </si>
  <si>
    <t>Vodoprávní úřad požádán o rekolaudaci části dešťových stok. Některé stoky nebude možné rekolaudovat z důvodu připojených občanů.</t>
  </si>
  <si>
    <r>
      <rPr>
        <rFont val="Calibri"/>
        <color theme="1"/>
        <sz val="11.0"/>
      </rPr>
      <t xml:space="preserve">Rekonstrukce </t>
    </r>
    <r>
      <rPr>
        <rFont val="Calibri"/>
        <b/>
        <color theme="1"/>
        <sz val="11.0"/>
      </rPr>
      <t xml:space="preserve">dešťové kanalizace ul. Záhumenní </t>
    </r>
    <r>
      <rPr>
        <rFont val="Calibri"/>
        <color theme="1"/>
        <sz val="11.0"/>
      </rPr>
      <t xml:space="preserve"> - realizace</t>
    </r>
  </si>
  <si>
    <t>C.4.2 Úsporné a účelné veřejné osvětlení</t>
  </si>
  <si>
    <r>
      <rPr>
        <rFont val="Calibri"/>
        <b/>
        <color theme="1"/>
        <sz val="11.0"/>
      </rPr>
      <t>Rekonstrukce VO na území města</t>
    </r>
    <r>
      <rPr>
        <rFont val="Calibri"/>
        <b val="0"/>
        <color theme="1"/>
        <sz val="11.0"/>
      </rPr>
      <t xml:space="preserve"> - tvorba plánu obnovy a doplnění + realizace I. etapy (místní části Vlčovice a Mniší)</t>
    </r>
  </si>
  <si>
    <t>MPO-EFEKT</t>
  </si>
  <si>
    <t>Byla dokončena projektová příprava I. etapy, podána žádosti o dotaci na realizaci projektu, realizace proběhne v roce 2024. Nadlimitní soutěž na zhotovitele bude vyhlášena 01-02/2024.</t>
  </si>
  <si>
    <t>C.5 Zdravá Kopřivnice a odolnost vůči změně klimatu</t>
  </si>
  <si>
    <t>C.5.1 Rozšiřování stávajících způsobů třídění a sběru odpadů</t>
  </si>
  <si>
    <r>
      <rPr>
        <rFont val="Calibri"/>
        <b/>
        <color theme="1"/>
        <sz val="11.0"/>
      </rPr>
      <t>Příprava zavedení II. etapy</t>
    </r>
    <r>
      <rPr>
        <rFont val="Calibri"/>
        <b val="0"/>
        <color theme="1"/>
        <sz val="11.0"/>
      </rPr>
      <t xml:space="preserve"> DOOR to DOOR - nádoby na papír, příp. příprava žádosti o dotaci</t>
    </r>
  </si>
  <si>
    <t>OŽP</t>
  </si>
  <si>
    <t>V r. 2023 Slumeko přijalo dotaci na pořízení 375 ks nádob na papír a nápojový karton v rámci systému D2D. V 11/23 byla zahájena distribuce nádob zájemcům z MČ Lubina, svoz těchto nádob probíhá od 01/24. V rámci rozpočtu pro r. 2024 byly schváleny finanční prostředky na nákup nádob do ostatních částí Kopřivnice  (pořízení nádob začátek r. 2024, zahájení svozu v celé Kopřivnici se předpokládá od 05/24).</t>
  </si>
  <si>
    <r>
      <rPr>
        <rFont val="Calibri"/>
        <b/>
        <color theme="1"/>
        <sz val="11.0"/>
      </rPr>
      <t>Zvýšení počtu sběrných míst pro gastroodpad</t>
    </r>
    <r>
      <rPr>
        <rFont val="Calibri"/>
        <b val="0"/>
        <color theme="1"/>
        <sz val="11.0"/>
      </rPr>
      <t xml:space="preserve"> - rozšíření pilotního projektu</t>
    </r>
  </si>
  <si>
    <t>Došlo k navýšení počtu svozových nádob na sídlištích z 20 na 60 ks.</t>
  </si>
  <si>
    <t>Zlepšování služeb Re-Use centra</t>
  </si>
  <si>
    <t>OŽP / Slumeko</t>
  </si>
  <si>
    <t>Re-Use centrum bylo rozšířeno o 2 unimobuňky + nové úložné prostory.</t>
  </si>
  <si>
    <t>C.5.2 Realizace opatření ke snižování množství odpadu a identifikace možností a testování využití odpadů</t>
  </si>
  <si>
    <t>C.5.3 Optimalizace systému nakládání s komunálními odpady</t>
  </si>
  <si>
    <t>Proběhla informační kampaň ve vztahu k velkoobjemového odpadu a ke vzniku nepovolených skládek v sídlištních prostorech.</t>
  </si>
  <si>
    <t>C.5.4 Zadržování a využívání srážkové vody</t>
  </si>
  <si>
    <r>
      <rPr>
        <rFont val="Calibri"/>
        <b/>
        <color theme="1"/>
        <sz val="11.0"/>
      </rPr>
      <t>Opatření proti přívalovým dešťům</t>
    </r>
    <r>
      <rPr>
        <rFont val="Calibri"/>
        <b val="0"/>
        <color theme="1"/>
        <sz val="11.0"/>
      </rPr>
      <t xml:space="preserve"> - </t>
    </r>
    <r>
      <rPr>
        <rFont val="Calibri"/>
        <b/>
        <color theme="1"/>
        <sz val="11.0"/>
      </rPr>
      <t>Lubina Holota</t>
    </r>
    <r>
      <rPr>
        <rFont val="Calibri"/>
        <b val="0"/>
        <color theme="1"/>
        <sz val="11.0"/>
      </rPr>
      <t xml:space="preserve"> - realizace </t>
    </r>
  </si>
  <si>
    <r>
      <rPr>
        <rFont val="Calibri"/>
        <b/>
        <color theme="1"/>
        <sz val="11.0"/>
      </rPr>
      <t>Odvedení potoka od Husovy lípy</t>
    </r>
    <r>
      <rPr>
        <rFont val="Calibri"/>
        <b val="0"/>
        <color theme="1"/>
        <sz val="11.0"/>
      </rPr>
      <t xml:space="preserve"> do Kopřivničky (využití dešť. vod pro letní stadion) - PD, realizace po dílčích etapách</t>
    </r>
  </si>
  <si>
    <t>žádost o dotaci</t>
  </si>
  <si>
    <t>Probíhají úpravy PD, tak aby bylo možno aspoň na část opatření podat žádost o dotaci na realizaci.</t>
  </si>
  <si>
    <t>C. 5.5 Udržení a zkvalitnění městské zeleně</t>
  </si>
  <si>
    <r>
      <rPr>
        <rFont val="Calibri"/>
        <b/>
        <color theme="1"/>
        <sz val="11.0"/>
      </rPr>
      <t>Řešení bývalé skládky KBV za ČOV s cílem ukončení vynětí území ze ZPF -</t>
    </r>
    <r>
      <rPr>
        <rFont val="Calibri"/>
        <b val="0"/>
        <color theme="1"/>
        <sz val="11.0"/>
      </rPr>
      <t xml:space="preserve"> jednání s vlastníky pozemků, zajištění trvalého vynětí ze ZPF za účelem zachování stávajícího stavu</t>
    </r>
  </si>
  <si>
    <t>Monitoring ukončen. Řešením dočasnosti vynětí pozemků ze ZPF je rekultivace ploch nebo trvalé vynětí ze ZPF. Dosud nebylo definováno, s jakou vizí k dané lokalitě přistupovat - mnoho pozemků, různí vlastníci.</t>
  </si>
  <si>
    <r>
      <rPr>
        <rFont val="Calibri"/>
        <b/>
        <color theme="1"/>
        <sz val="11.0"/>
      </rPr>
      <t xml:space="preserve">Aktualizace pasportu a inventarizace zeleně </t>
    </r>
    <r>
      <rPr>
        <rFont val="Calibri"/>
        <b val="0"/>
        <color theme="1"/>
        <sz val="11.0"/>
      </rPr>
      <t>- mapování zeleně v Kopřivnici a MČ - ošetření a ořez, popř. kácení</t>
    </r>
  </si>
  <si>
    <t>Na jaře 2023 dokončena pasportizace v místních částech, na podzim proběhla pasportizace a inventarizace zeleně v parcích a v centrální části města.</t>
  </si>
  <si>
    <r>
      <rPr>
        <rFont val="Calibri"/>
        <b/>
        <color theme="1"/>
        <sz val="11.0"/>
      </rPr>
      <t>Zastínění parkovacích míst za MÚ</t>
    </r>
    <r>
      <rPr>
        <rFont val="Calibri"/>
        <b val="0"/>
        <color theme="1"/>
        <sz val="11.0"/>
      </rPr>
      <t xml:space="preserve"> - pilotní projekt, výsadba popínavých rostlin</t>
    </r>
  </si>
  <si>
    <t>Je zpracováno technické řešení konstrukce, na které budou popínavé rostliny. Samotná realizace a výsadba proběhne na jaře 2024.</t>
  </si>
  <si>
    <t>C.5.6 Komunitní energetika</t>
  </si>
  <si>
    <r>
      <rPr>
        <rFont val="Calibri"/>
        <b/>
        <color theme="1"/>
        <sz val="11.0"/>
      </rPr>
      <t xml:space="preserve">Energetická koncepce města - </t>
    </r>
    <r>
      <rPr>
        <rFont val="Calibri"/>
        <b val="0"/>
        <color theme="1"/>
        <sz val="11.0"/>
      </rPr>
      <t>vyhodnocení en. plánu, tvorba nové koncepce</t>
    </r>
  </si>
  <si>
    <t>usnesení orgánů</t>
  </si>
  <si>
    <t>MPO - EFEKT</t>
  </si>
  <si>
    <t>V průběhu roku probíhalo vyhodnocení dřívější energetické koncepce města a zpracováno nové Místní energetické koncepce. Dokument byl interně projednán 12/2023.</t>
  </si>
  <si>
    <r>
      <rPr>
        <rFont val="Calibri"/>
        <b/>
        <color theme="1"/>
        <sz val="11.0"/>
      </rPr>
      <t>Zpracování energetického auditu</t>
    </r>
    <r>
      <rPr>
        <rFont val="Calibri"/>
        <b val="0"/>
        <color theme="1"/>
        <sz val="11.0"/>
      </rPr>
      <t xml:space="preserve"> - legislativní povinnost města</t>
    </r>
  </si>
  <si>
    <t>Energetický audit byl zpracován.</t>
  </si>
  <si>
    <r>
      <rPr>
        <rFont val="Calibri"/>
        <b/>
        <color theme="1"/>
        <sz val="11.0"/>
      </rPr>
      <t xml:space="preserve">Podpora vzniku </t>
    </r>
    <r>
      <rPr>
        <rFont val="Calibri"/>
        <b/>
        <color theme="1"/>
        <sz val="11.0"/>
      </rPr>
      <t>čerpací stanice/dobíjecí stanice na alternativní PHM</t>
    </r>
    <r>
      <rPr>
        <rFont val="Calibri"/>
        <b val="0"/>
        <color theme="1"/>
        <sz val="11.0"/>
      </rPr>
      <t xml:space="preserve"> / dobíjecí stanice pro elektromobily </t>
    </r>
  </si>
  <si>
    <t>OMM/ORM</t>
  </si>
  <si>
    <t>usnesení RM/ZM</t>
  </si>
  <si>
    <t>V rámci rekonstrukce města byla na parkovišti na ul. Lidická provedena stavební příprava pro instalaci dobíjecích stanic pro elektromobily.</t>
  </si>
  <si>
    <r>
      <rPr>
        <rFont val="Calibri"/>
        <color theme="1"/>
        <sz val="11.0"/>
      </rPr>
      <t xml:space="preserve">Zorganizování </t>
    </r>
    <r>
      <rPr>
        <rFont val="Calibri"/>
        <b/>
        <color theme="1"/>
        <sz val="11.0"/>
      </rPr>
      <t xml:space="preserve">společného nákupu energií </t>
    </r>
    <r>
      <rPr>
        <rFont val="Calibri"/>
        <color theme="1"/>
        <sz val="11.0"/>
      </rPr>
      <t xml:space="preserve">pro veřejnost </t>
    </r>
  </si>
  <si>
    <t>realizace 2023</t>
  </si>
  <si>
    <t>Podobně jako v předchozích létech aukce zajištěna ve spolupráci se společností MARANDIS.</t>
  </si>
  <si>
    <t>C. 5.7. Snižování energetické náročnosti budov</t>
  </si>
  <si>
    <r>
      <rPr>
        <rFont val="Calibri"/>
        <b/>
        <color theme="1"/>
        <sz val="11.0"/>
      </rPr>
      <t>MŠ Záhumenní -</t>
    </r>
    <r>
      <rPr>
        <rFont val="Calibri"/>
        <b val="0"/>
        <color theme="1"/>
        <sz val="11.0"/>
      </rPr>
      <t xml:space="preserve"> řešení energetických opatření vč. přístřešku nad vchod</t>
    </r>
  </si>
  <si>
    <r>
      <rPr>
        <rFont val="Calibri"/>
        <b/>
        <color theme="1"/>
        <sz val="11.0"/>
      </rPr>
      <t xml:space="preserve">MŠ Mniší - </t>
    </r>
    <r>
      <rPr>
        <rFont val="Calibri"/>
        <b val="0"/>
        <color theme="1"/>
        <sz val="11.0"/>
      </rPr>
      <t>řešení energetických opatření</t>
    </r>
  </si>
  <si>
    <r>
      <rPr>
        <rFont val="Calibri"/>
        <b/>
        <color theme="1"/>
        <sz val="11.0"/>
      </rPr>
      <t xml:space="preserve">Vytvoření finanční rezervy na realizaci en. úsporných opatření </t>
    </r>
    <r>
      <rPr>
        <rFont val="Calibri"/>
        <b val="0"/>
        <color theme="1"/>
        <sz val="11.0"/>
      </rPr>
      <t>v městských objektech (realizace dílčích opatření)</t>
    </r>
  </si>
  <si>
    <t>Realizace dílčích opatření - v roce 2023 byly částečně vyměněny zářivková svítidla na objektu MÚ (+ Městská Policie) - přechod na LED.</t>
  </si>
  <si>
    <r>
      <rPr>
        <rFont val="Calibri"/>
        <b/>
        <color theme="1"/>
        <sz val="11.0"/>
      </rPr>
      <t>Radnice</t>
    </r>
    <r>
      <rPr>
        <rFont val="Calibri"/>
        <b val="0"/>
        <color theme="1"/>
        <sz val="11.0"/>
      </rPr>
      <t xml:space="preserve"> - vzduchotechnika s rekuperací a chlazením na chodbách</t>
    </r>
  </si>
  <si>
    <t xml:space="preserve">Instalace fotovoltaických panelů na objektech města </t>
  </si>
  <si>
    <t>C.6 Efektivní veřejná správa a krizový management</t>
  </si>
  <si>
    <t>C.6.1 Otevřený a bezpečný úřad</t>
  </si>
  <si>
    <r>
      <rPr>
        <rFont val="Calibri"/>
        <b/>
        <color theme="1"/>
        <sz val="11.0"/>
      </rPr>
      <t>Projekt Kvalitní úřad Kopřivnice</t>
    </r>
    <r>
      <rPr>
        <rFont val="Calibri"/>
        <b val="0"/>
        <color theme="1"/>
        <sz val="11.0"/>
      </rPr>
      <t xml:space="preserve"> - dokončení všech aktivit projektu, vyúčtování dotace</t>
    </r>
  </si>
  <si>
    <t>Realizace projektu dokončena splněním všech plánovaných aktivit.</t>
  </si>
  <si>
    <r>
      <rPr>
        <rFont val="Calibri"/>
        <b/>
        <color theme="1"/>
        <sz val="11.0"/>
      </rPr>
      <t xml:space="preserve">Realizace prvků </t>
    </r>
    <r>
      <rPr>
        <rFont val="Calibri"/>
        <b val="0"/>
        <color theme="1"/>
        <sz val="11.0"/>
      </rPr>
      <t>e-governmentu, zvyšování kyberbezpečnosti a uplatňování moderní veřejné správy</t>
    </r>
  </si>
  <si>
    <t>tajemník</t>
  </si>
  <si>
    <t>Proběhl audit procesů evidence smluv a zavádění do majetku. Na základě výsledků auditu byla realizována a jsou připravována další opatření ke zlepšení interních procesů.</t>
  </si>
  <si>
    <t>C.6.2 Krizový management</t>
  </si>
  <si>
    <r>
      <rPr>
        <rFont val="Calibri"/>
        <b/>
        <color theme="1"/>
        <sz val="11.0"/>
      </rPr>
      <t>Obnova a doplnění vybavení jednotek SDH</t>
    </r>
    <r>
      <rPr>
        <rFont val="Calibri"/>
        <b val="0"/>
        <color theme="1"/>
        <sz val="11.0"/>
      </rPr>
      <t xml:space="preserve"> - pořízení cisterny (žádost o dotaci)</t>
    </r>
  </si>
  <si>
    <t>OPE</t>
  </si>
  <si>
    <t>MV, MSK</t>
  </si>
  <si>
    <t>Žádost podána v roce 2022 nebyla z důvodu vyčerpání alokace podpořena, v závěru roku 2023 byla podaná opakovaná žádost. 
V rámci podpory jednotek SDH byla aktualizována PD rekonstrukce HZ Drnholec ve vazbě na avizovanou dotační výzvu z IROP - MAS. Žádost o dotaci na realizaci rekonstrukce byla podána v závěru roku 2023.</t>
  </si>
  <si>
    <t>Sociální zázemí</t>
  </si>
  <si>
    <r>
      <rPr>
        <rFont val="Calibri"/>
        <b/>
        <color theme="1"/>
        <sz val="10.0"/>
      </rPr>
      <t>Odhad souhrnných nákladů</t>
    </r>
    <r>
      <rPr>
        <rFont val="Calibri"/>
        <b/>
        <color rgb="FF000000"/>
        <sz val="10.0"/>
      </rPr>
      <t xml:space="preserve"> r. 2023</t>
    </r>
  </si>
  <si>
    <r>
      <rPr>
        <rFont val="Calibri"/>
        <b/>
        <color theme="1"/>
        <sz val="10.0"/>
      </rPr>
      <t>Odhad souhrnných nákladů</t>
    </r>
    <r>
      <rPr>
        <rFont val="Calibri"/>
        <b/>
        <color rgb="FF000000"/>
        <sz val="10.0"/>
      </rPr>
      <t xml:space="preserve"> r. 2024</t>
    </r>
  </si>
  <si>
    <t>D. 1 Sociální služby a aktivity pro potřebné cílové skupiny</t>
  </si>
  <si>
    <t>D. 1.1 Spolupracující síť sociálních služeb</t>
  </si>
  <si>
    <r>
      <rPr>
        <rFont val="Calibri"/>
        <b/>
        <color theme="1"/>
        <sz val="11.0"/>
      </rPr>
      <t xml:space="preserve">Zachování stávající sítě </t>
    </r>
    <r>
      <rPr>
        <rFont val="Calibri"/>
        <b val="0"/>
        <color theme="1"/>
        <sz val="11.0"/>
      </rPr>
      <t>soc. služeb a jejich podpora</t>
    </r>
  </si>
  <si>
    <t>počet podpoř. služeb</t>
  </si>
  <si>
    <t>Podpora poskytovatelů sociálních služeb na území města byla poskytována v souladu se schváleným střednědobým plánem sociálních služeb</t>
  </si>
  <si>
    <r>
      <rPr>
        <rFont val="Calibri"/>
        <b/>
        <color theme="1"/>
        <sz val="11.0"/>
      </rPr>
      <t xml:space="preserve">Propagace </t>
    </r>
    <r>
      <rPr>
        <rFont val="Calibri"/>
        <b val="0"/>
        <color theme="1"/>
        <sz val="11.0"/>
      </rPr>
      <t>poskytovatelů sociálních služeb a jejich činnosti</t>
    </r>
  </si>
  <si>
    <t>OSV / NNO</t>
  </si>
  <si>
    <t>Nepravidelně vycházejí články v KN informující o soc. službách ve městě, jsou realizovány jednorázové akce, např. Dny duševního zdraví, Šťastný pátek a dny otevřených dveří ve vybraných sociálních službách.</t>
  </si>
  <si>
    <r>
      <rPr>
        <rFont val="Calibri"/>
        <b/>
        <color theme="1"/>
        <sz val="11.0"/>
      </rPr>
      <t xml:space="preserve">Katalog </t>
    </r>
    <r>
      <rPr>
        <rFont val="Calibri"/>
        <b val="0"/>
        <color theme="1"/>
        <sz val="11.0"/>
      </rPr>
      <t>sociálních služeb</t>
    </r>
  </si>
  <si>
    <t>D. 1.2 Péče o osoby v seniorském věku, osob se zdravotním postižením a podpora pečujících osob</t>
  </si>
  <si>
    <r>
      <rPr>
        <rFont val="Calibri"/>
        <b/>
        <color theme="1"/>
        <sz val="11.0"/>
      </rPr>
      <t>Vznik pobytové sociální služby</t>
    </r>
    <r>
      <rPr>
        <rFont val="Calibri"/>
        <b val="0"/>
        <color theme="1"/>
        <sz val="11.0"/>
      </rPr>
      <t xml:space="preserve"> domov pro seniory a domov se zvláštním režimem</t>
    </r>
  </si>
  <si>
    <t>OSV / MSK</t>
  </si>
  <si>
    <t>zahájení provozu</t>
  </si>
  <si>
    <t>Realizace stavby probíhá, příjem žádostí o služby Domova pod Bílou horou bude zahájen v 04/2024, slavnostní otevření domova je plánováno na druhou polovinu r. 2024.</t>
  </si>
  <si>
    <r>
      <rPr>
        <rFont val="Calibri"/>
        <b/>
        <color theme="1"/>
        <sz val="11.0"/>
      </rPr>
      <t>Provedení mapování</t>
    </r>
    <r>
      <rPr>
        <rFont val="Calibri"/>
        <b val="0"/>
        <color theme="1"/>
        <sz val="11.0"/>
      </rPr>
      <t xml:space="preserve"> potřeb a případné následné rozšíření kapacity osobní asistence</t>
    </r>
  </si>
  <si>
    <t>závěrečná zpráva</t>
  </si>
  <si>
    <t xml:space="preserve">Na základě jednání s poskyt. soc. služeb v I.pol. 2023 bylo dohodnuto, že poskytovatelé pečovatelské služby a osobní asistence zpracují na počátku nového roku podrobnou zprávu o počtu a důvodech odmítnutých žadatelů za předchozí rok, uvedení čekací doby na poskytnutí služby a způsoby spolupráce s ostatními poskyt. soc. služeb. V r. 2023 soc. služby - pečovatelská služba a osobní asistence uváděly, že mají volnou kapacitu.  </t>
  </si>
  <si>
    <r>
      <rPr>
        <rFont val="Calibri"/>
        <b/>
        <color theme="1"/>
        <sz val="11.0"/>
      </rPr>
      <t xml:space="preserve">Vznik pobytové odlehčovací služby </t>
    </r>
    <r>
      <rPr>
        <rFont val="Calibri"/>
        <b val="0"/>
        <color theme="1"/>
        <sz val="11.0"/>
      </rPr>
      <t>pro osoby s mentálním a kombinovaným postižením, poruchami autistického spektra</t>
    </r>
  </si>
  <si>
    <t xml:space="preserve">Slezskou diakonií byl zpracován návrh možného řešení vzniku pobytové odlehčovací služby, ale vzhledem k omezením v souvislosti s realizací jiného projektu není možné tuto aktivitu po dobu udržitelnosti tohoto projektu realizovat v zamýšleném objektu. </t>
  </si>
  <si>
    <r>
      <rPr>
        <rFont val="Calibri"/>
        <b/>
        <color theme="1"/>
        <sz val="11.0"/>
      </rPr>
      <t xml:space="preserve">Podpora pečujících osob </t>
    </r>
    <r>
      <rPr>
        <rFont val="Calibri"/>
        <b val="0"/>
        <color theme="1"/>
        <sz val="11.0"/>
      </rPr>
      <t>včetně dobrovolnictví</t>
    </r>
  </si>
  <si>
    <t>V průběhu roku byla zajišťována činnost Poradce pro pečujících, v sídle SSSmK byla otevřena edukační místnost pro laické pečující, pro pečující byly organizovány vzdělávací aktivity.</t>
  </si>
  <si>
    <t>D.1.3 Volnočasové aktivity pro osoby se zdravotním postižením</t>
  </si>
  <si>
    <t>DPS 650 - obnova zahrady pro seniory</t>
  </si>
  <si>
    <t>V návaznosti na realizovanou rekonstrukci objektu byla dokončena úprava zahrady.</t>
  </si>
  <si>
    <r>
      <rPr>
        <rFont val="Calibri"/>
        <b/>
        <color theme="1"/>
        <sz val="11.0"/>
      </rPr>
      <t xml:space="preserve">Osvěta a informovanost </t>
    </r>
    <r>
      <rPr>
        <rFont val="Calibri"/>
        <b val="0"/>
        <color theme="1"/>
        <sz val="11.0"/>
      </rPr>
      <t xml:space="preserve">o možnostech trávení volného času osob se zdr. postižením, zejména mentálním </t>
    </r>
  </si>
  <si>
    <t xml:space="preserve">Byl sestaven dotazník mapování potřeb osob se zdravotním postižením, a to jak pro dospělé, tak pro děti. Dotazníkové šetření bylo spuštěno na počátku prosince a bude probíhat do 15.1.2024.  </t>
  </si>
  <si>
    <t>D.1.4 Péče o osoby s duševním onemocněním</t>
  </si>
  <si>
    <r>
      <rPr>
        <rFont val="Calibri"/>
        <b/>
        <color theme="1"/>
        <sz val="11.0"/>
      </rPr>
      <t xml:space="preserve">Podpora realizace svépomocných skupin </t>
    </r>
    <r>
      <rPr>
        <rFont val="Calibri"/>
        <b val="0"/>
        <color theme="1"/>
        <sz val="11.0"/>
      </rPr>
      <t>a peer konzultantů pro osoby s duševním onemocněním</t>
    </r>
  </si>
  <si>
    <t>Svépomocná skupina osob s duševním onemocněním se schází dle možností jednou týdně, prostory zajistilo město (OSV), samotnou organizaci zajišťuje Slezská diakonie v rámci poskytování sociální služby - sociální rehabilitace. Stejně tak byla Slezskou diakonií v rámci této sociální služby zaměstnána i osoba - peer konzultant - na pozici  pracovník v sociálních službách.</t>
  </si>
  <si>
    <r>
      <rPr>
        <rFont val="Calibri"/>
        <b/>
        <color theme="1"/>
        <sz val="11.0"/>
      </rPr>
      <t xml:space="preserve">Zajištění bydlení </t>
    </r>
    <r>
      <rPr>
        <rFont val="Calibri"/>
        <b val="0"/>
        <color theme="1"/>
        <sz val="11.0"/>
      </rPr>
      <t>s podporou pro osoby duševním onemocněním</t>
    </r>
  </si>
  <si>
    <t>D. 2 Výchova k bezpečí a primární prevence rizikového chování dětí a mládeže</t>
  </si>
  <si>
    <t>D.2.1 Efektivní programy prevence rizikového chování u dětí a mládeže</t>
  </si>
  <si>
    <r>
      <rPr>
        <rFont val="Calibri"/>
        <b/>
        <color theme="1"/>
        <sz val="11.0"/>
      </rPr>
      <t>Šikana, kyberšikana</t>
    </r>
    <r>
      <rPr>
        <rFont val="Calibri"/>
        <b val="0"/>
        <color theme="1"/>
        <sz val="11.0"/>
      </rPr>
      <t xml:space="preserve"> - preventivní programy pro žáky 6. tříd</t>
    </r>
  </si>
  <si>
    <t>OŠKS / ZŠ</t>
  </si>
  <si>
    <t>Byly realizovány různé aktivity dle volby jednotlivých škol. Město přispělo každé škole 30 Kč na 1 žáka na preventivní programy. V roce 2023 se jednalo mj. o programy prevence E-bezpečí, Základy bezpečnosti a Kyberšikana, promítání filmu V síti – za školou.</t>
  </si>
  <si>
    <r>
      <rPr>
        <rFont val="Calibri"/>
        <b/>
        <color theme="1"/>
        <sz val="11.0"/>
      </rPr>
      <t>Poruchy příjmu potravy</t>
    </r>
    <r>
      <rPr>
        <rFont val="Calibri"/>
        <b val="0"/>
        <color theme="1"/>
        <sz val="11.0"/>
      </rPr>
      <t xml:space="preserve"> - preventivní program pro dívky 8. a 9. tříd</t>
    </r>
  </si>
  <si>
    <t>Pokračují semináře a besedy v rámci škol, např. workshopy spolku EDU-Anabell, z. s. Dále semináře v roce 2023: Emoce I., Emoce II., Dospívání, Duševní zdraví, Vliv médií, Strach, smysl a motivace, Lenka Quittová, Nestlé – Rizika nevhodného stravování, dle výběru každé školy. Město přispělo každé škole 30 Kč na 1 žáka na preventivní programy.</t>
  </si>
  <si>
    <r>
      <rPr>
        <rFont val="Calibri"/>
        <b/>
        <color theme="1"/>
        <sz val="11.0"/>
      </rPr>
      <t xml:space="preserve">Blázníš? No a! </t>
    </r>
    <r>
      <rPr>
        <rFont val="Calibri"/>
        <b val="0"/>
        <color theme="1"/>
        <sz val="11.0"/>
      </rPr>
      <t>- preventivní program zaměřený na psychiatrické nemoci</t>
    </r>
  </si>
  <si>
    <t>ZŠ a MŠ 17. list.</t>
  </si>
  <si>
    <t>V rámci Týdne duševního zdraví proběhly dne 3. 10. 2023 preventivní programy jak pro ZŠ, tak pro veřejnost. 
Pro žáky 8.-9. třídy ZŠ proběhla hodinová beseda  z oblasti prevence a podpory duševního zdraví, založená na otevřeném dialogu studentů s moderátorem, „experty ve vlastní věci“ - lidmi, kteří mají vlastní zkušenost s duševním onemocněním a psychiatrickou péčí. Tématem diskuse byly psychická krize a štěstí, vlastní životní zkušenosti studentů, onemocnění a léčba, jak a kde najít pomoc v obtížné životní situaci, naděje a možnosti podpory, proč lze vnímat psychické problémy i jako příležitost a jiné. 
Současně ve vestibulu radnice probíhaly workshopy, teoretické i praktické informace z oblasti duševního zdraví poskytli odborníci z RÚT Nový Jičín Slezská diakonie, Renarkonu, Krizového centra Ostrava a Klubu otevřeného srdce. 
Odpoledne se uskutečnilo autorské čtení a beseda s Jiřím Pazsem, autorem knihy a s psychiatrem a psychoterapeutem MUDr. Michalem Raszkou, PhD., s názvem Normální šílenství .</t>
  </si>
  <si>
    <t>D. 2.2 Informovanost, výchova k bezpečí</t>
  </si>
  <si>
    <r>
      <rPr>
        <rFont val="Calibri"/>
        <b/>
        <color theme="1"/>
        <sz val="11.0"/>
      </rPr>
      <t>Protidrogový vlak</t>
    </r>
    <r>
      <rPr>
        <rFont val="Calibri"/>
        <b val="0"/>
        <color theme="1"/>
        <sz val="11.0"/>
      </rPr>
      <t xml:space="preserve"> - protidrogová prevence</t>
    </r>
  </si>
  <si>
    <t>OŠKS / MP</t>
  </si>
  <si>
    <t>2024 - realizace</t>
  </si>
  <si>
    <t>Akce je plánovaná pro rok 2024</t>
  </si>
  <si>
    <r>
      <rPr>
        <rFont val="Calibri"/>
        <b/>
        <color theme="1"/>
        <sz val="11.0"/>
      </rPr>
      <t>Regenerace sadu E. Beneše</t>
    </r>
    <r>
      <rPr>
        <rFont val="Calibri"/>
        <b val="0"/>
        <color theme="1"/>
        <sz val="11.0"/>
      </rPr>
      <t xml:space="preserve"> (chodníky, zeleň, VO,…) - projednání návrhu studie řešení lokality </t>
    </r>
  </si>
  <si>
    <t>definice zadání - projednání ve zřízení komise pro VP</t>
  </si>
  <si>
    <r>
      <rPr>
        <rFont val="Calibri"/>
        <b/>
        <color theme="1"/>
        <sz val="11.0"/>
      </rPr>
      <t xml:space="preserve">Veřejné prostranství u KD Mniší - </t>
    </r>
    <r>
      <rPr>
        <rFont val="Calibri"/>
        <b val="0"/>
        <color theme="1"/>
        <sz val="11.0"/>
      </rPr>
      <t xml:space="preserve">studie řešení </t>
    </r>
  </si>
  <si>
    <t>vypustit</t>
  </si>
  <si>
    <r>
      <rPr>
        <rFont val="Calibri"/>
        <b/>
        <color theme="1"/>
        <sz val="11.0"/>
      </rPr>
      <t xml:space="preserve">Dětská hřiště - </t>
    </r>
    <r>
      <rPr>
        <rFont val="Calibri"/>
        <b val="0"/>
        <color theme="1"/>
        <sz val="11.0"/>
      </rPr>
      <t>obnova herních prvků, likvidace nevyužívaných ploch</t>
    </r>
  </si>
  <si>
    <t>nechat</t>
  </si>
  <si>
    <r>
      <rPr>
        <rFont val="Calibri"/>
        <b/>
        <color theme="1"/>
        <sz val="11.0"/>
      </rPr>
      <t>Vybudování parkourového hřiště -</t>
    </r>
    <r>
      <rPr>
        <rFont val="Calibri"/>
        <b val="0"/>
        <color theme="1"/>
        <sz val="11.0"/>
      </rPr>
      <t xml:space="preserve"> výběr lokality</t>
    </r>
  </si>
  <si>
    <t>OŠK</t>
  </si>
  <si>
    <r>
      <rPr>
        <rFont val="Calibri"/>
        <b/>
        <color theme="1"/>
        <sz val="11.0"/>
      </rPr>
      <t xml:space="preserve">Přehlídka volnočasových aktivit </t>
    </r>
    <r>
      <rPr>
        <rFont val="Calibri"/>
        <b val="0"/>
        <color theme="1"/>
        <sz val="11.0"/>
      </rPr>
      <t xml:space="preserve">- realizace aktivity </t>
    </r>
  </si>
  <si>
    <r>
      <rPr>
        <rFont val="Calibri"/>
        <b/>
        <color theme="1"/>
        <sz val="11.0"/>
      </rPr>
      <t>Udržení atraktivity Technického muzea</t>
    </r>
    <r>
      <rPr>
        <rFont val="Calibri"/>
        <b val="0"/>
        <color theme="1"/>
        <sz val="11.0"/>
      </rPr>
      <t xml:space="preserve"> - příprava koncepce muzea s ohledem na vznik nové expozice</t>
    </r>
  </si>
  <si>
    <r>
      <rPr>
        <rFont val="Calibri"/>
        <b/>
        <color theme="1"/>
        <sz val="11.0"/>
      </rPr>
      <t>ZŠ Náměstí</t>
    </r>
    <r>
      <rPr>
        <rFont val="Calibri"/>
        <b val="0"/>
        <color theme="1"/>
        <sz val="11.0"/>
      </rPr>
      <t xml:space="preserve"> -</t>
    </r>
    <r>
      <rPr>
        <rFont val="Calibri"/>
        <b val="0"/>
        <color rgb="FFFF0000"/>
        <sz val="11.0"/>
      </rPr>
      <t xml:space="preserve"> rozhodnutí o způsobu využití objektu historické budovy (např. knihovna, příp. byty) - aktualizace studie</t>
    </r>
  </si>
  <si>
    <t>V rozpočtu jsou finance na PD na knihovnu, ale stále se zvažuje možnost rekonstukce na byty? Půříprava projektu dle rozhodnutí</t>
  </si>
  <si>
    <r>
      <rPr>
        <rFont val="Calibri"/>
        <b/>
        <color theme="1"/>
        <sz val="11.0"/>
      </rPr>
      <t xml:space="preserve">Most Lubina u KD - </t>
    </r>
    <r>
      <rPr>
        <rFont val="Calibri"/>
        <b val="0"/>
        <color theme="1"/>
        <sz val="11.0"/>
      </rPr>
      <t>bezpečnostní opatření/organizace dopravy - návrh/studie řešení</t>
    </r>
  </si>
  <si>
    <t>projednání studie a realizace dle rozhodntí</t>
  </si>
  <si>
    <r>
      <rPr>
        <rFont val="Calibri"/>
        <b/>
        <color theme="1"/>
        <sz val="11.0"/>
      </rPr>
      <t>Dopravní studie na ul. Sportovní, Pionýrská a Pod Bílou horou</t>
    </r>
    <r>
      <rPr>
        <rFont val="Calibri"/>
        <b val="0"/>
        <color theme="1"/>
        <sz val="11.0"/>
      </rPr>
      <t xml:space="preserve"> - příprava propojení ulic PBh a Sportovní - PD</t>
    </r>
  </si>
  <si>
    <t>bez propojení</t>
  </si>
  <si>
    <r>
      <rPr>
        <rFont val="Calibri"/>
        <b/>
        <color theme="1"/>
        <sz val="11.0"/>
      </rPr>
      <t xml:space="preserve">Stavební úpravy autobusových zastávek (ul. Pod stadionem a Tatra vrát. č. 2) - </t>
    </r>
    <r>
      <rPr>
        <rFont val="Calibri"/>
        <b val="0"/>
        <color theme="1"/>
        <sz val="11.0"/>
      </rPr>
      <t>PD</t>
    </r>
  </si>
  <si>
    <r>
      <rPr>
        <rFont val="Calibri"/>
        <b/>
        <color theme="1"/>
        <sz val="11.0"/>
      </rPr>
      <t xml:space="preserve">Podpora sdílení dopravních prostředků na území města </t>
    </r>
    <r>
      <rPr>
        <rFont val="Calibri"/>
        <b val="0"/>
        <color theme="1"/>
        <sz val="11.0"/>
      </rPr>
      <t>- spolupráce se soukromým provozovatelem</t>
    </r>
  </si>
  <si>
    <r>
      <rPr>
        <rFont val="Calibri"/>
        <color theme="1"/>
        <sz val="11.0"/>
      </rPr>
      <t xml:space="preserve">Chodník </t>
    </r>
    <r>
      <rPr>
        <rFont val="Calibri"/>
        <b/>
        <color theme="1"/>
        <sz val="11.0"/>
      </rPr>
      <t>ul. Janáčkova</t>
    </r>
    <r>
      <rPr>
        <rFont val="Calibri"/>
        <color theme="1"/>
        <sz val="11.0"/>
      </rPr>
      <t xml:space="preserve"> - aktualizace PD + pozemky</t>
    </r>
  </si>
  <si>
    <t>alternativa</t>
  </si>
  <si>
    <r>
      <rPr>
        <rFont val="Calibri"/>
        <color theme="1"/>
        <sz val="11.0"/>
      </rPr>
      <t xml:space="preserve">Stavební úprava slepé části </t>
    </r>
    <r>
      <rPr>
        <rFont val="Calibri"/>
        <b/>
        <color theme="1"/>
        <sz val="11.0"/>
      </rPr>
      <t>ulice Zd.Buriana před MŠ Jeřabinka</t>
    </r>
    <r>
      <rPr>
        <rFont val="Calibri"/>
        <color theme="1"/>
        <sz val="11.0"/>
      </rPr>
      <t xml:space="preserve"> (parkování, chodník, VO) - projednání způsobu řešení, PD</t>
    </r>
  </si>
  <si>
    <r>
      <rPr>
        <rFont val="Calibri"/>
        <b/>
        <color theme="1"/>
        <sz val="11.0"/>
      </rPr>
      <t xml:space="preserve">Lávka pro pěší KD Lubina </t>
    </r>
    <r>
      <rPr>
        <rFont val="Calibri"/>
        <color theme="1"/>
        <sz val="11.0"/>
      </rPr>
      <t>- vyhledávací studie</t>
    </r>
  </si>
  <si>
    <t>vymazat</t>
  </si>
  <si>
    <r>
      <rPr>
        <rFont val="Calibri"/>
        <b/>
        <color theme="1"/>
        <sz val="11.0"/>
      </rPr>
      <t>Ul. Štefánikova</t>
    </r>
    <r>
      <rPr>
        <rFont val="Calibri"/>
        <color theme="1"/>
        <sz val="11.0"/>
      </rPr>
      <t xml:space="preserve"> - příprava komplexní rekonstrukce (úsek od vily Machů před MÚ)</t>
    </r>
  </si>
  <si>
    <t>kopmise</t>
  </si>
  <si>
    <r>
      <rPr>
        <rFont val="Calibri"/>
        <b/>
        <color theme="1"/>
        <sz val="11.0"/>
      </rPr>
      <t>Rozšíření parkovacích ploch u krytého bazénu -</t>
    </r>
    <r>
      <rPr>
        <rFont val="Calibri"/>
        <b val="0"/>
        <color theme="1"/>
        <sz val="11.0"/>
      </rPr>
      <t xml:space="preserve"> řešení majetkových vztahů s MSK, příprava PD</t>
    </r>
  </si>
  <si>
    <t>ORM/OMM</t>
  </si>
  <si>
    <r>
      <rPr>
        <rFont val="Calibri"/>
        <b/>
        <color theme="1"/>
        <sz val="11.0"/>
      </rPr>
      <t>Příprava zavedení II. etapy</t>
    </r>
    <r>
      <rPr>
        <rFont val="Calibri"/>
        <b val="0"/>
        <color theme="1"/>
        <sz val="11.0"/>
      </rPr>
      <t xml:space="preserve"> DOOR to DOOR - nádoby na papír, </t>
    </r>
    <r>
      <rPr>
        <rFont val="Calibri"/>
        <b val="0"/>
        <color rgb="FFFF0000"/>
        <sz val="11.0"/>
      </rPr>
      <t>příp. příprava žádosti o dotaci</t>
    </r>
  </si>
  <si>
    <t>Slumeko má schválenou žádost o dotaci, jsou problémy se zadáním svozu - posouzení dle ZVZ, inhouse, …</t>
  </si>
  <si>
    <r>
      <rPr>
        <rFont val="Calibri"/>
        <b/>
        <color theme="1"/>
        <sz val="11.0"/>
      </rPr>
      <t>Řešení bývalé skládky KBV za ČOV s cílem ukončení vynětí území ze ZPF -</t>
    </r>
    <r>
      <rPr>
        <rFont val="Calibri"/>
        <b val="0"/>
        <color theme="1"/>
        <sz val="11.0"/>
      </rPr>
      <t xml:space="preserve"> jednání s vlastníky pozemků, zajištění trvalého vynění ze ZPF za účelem zachování stávajícího stavu</t>
    </r>
  </si>
  <si>
    <r>
      <rPr>
        <rFont val="Calibri"/>
        <b/>
        <color theme="1"/>
        <sz val="11.0"/>
      </rPr>
      <t xml:space="preserve">Aktualizace pasportu a inventarizace zeleně </t>
    </r>
    <r>
      <rPr>
        <rFont val="Calibri"/>
        <b val="0"/>
        <color theme="1"/>
        <sz val="11.0"/>
      </rPr>
      <t>- mapování zeleně v Kopřivnici a MČ - ošetření a ořez, popř. kácení</t>
    </r>
  </si>
  <si>
    <t>???</t>
  </si>
  <si>
    <r>
      <rPr>
        <rFont val="Calibri"/>
        <color theme="1"/>
        <sz val="11.0"/>
      </rPr>
      <t xml:space="preserve">Zorganizování </t>
    </r>
    <r>
      <rPr>
        <rFont val="Calibri"/>
        <b/>
        <color theme="1"/>
        <sz val="11.0"/>
      </rPr>
      <t xml:space="preserve">společného nákupu energií </t>
    </r>
    <r>
      <rPr>
        <rFont val="Calibri"/>
        <color theme="1"/>
        <sz val="11.0"/>
      </rPr>
      <t>pro veřejnost - 2023</t>
    </r>
  </si>
  <si>
    <t>ano</t>
  </si>
  <si>
    <r>
      <rPr>
        <rFont val="Calibri"/>
        <b/>
        <color theme="1"/>
        <sz val="11.0"/>
      </rPr>
      <t>MŠ Záhumenní -</t>
    </r>
    <r>
      <rPr>
        <rFont val="Calibri"/>
        <b val="0"/>
        <color theme="1"/>
        <sz val="11.0"/>
      </rPr>
      <t xml:space="preserve"> řešení energetických opatření vč. přístřešku nad vchod</t>
    </r>
  </si>
  <si>
    <r>
      <rPr>
        <rFont val="Calibri"/>
        <b/>
        <color theme="1"/>
        <sz val="11.0"/>
      </rPr>
      <t xml:space="preserve">MŠ Mniší - </t>
    </r>
    <r>
      <rPr>
        <rFont val="Calibri"/>
        <b val="0"/>
        <color theme="1"/>
        <sz val="11.0"/>
      </rPr>
      <t>řešení energetických opatření</t>
    </r>
  </si>
  <si>
    <t>Příprava expozice Zd. Buriana - připomenutí výročí narození</t>
  </si>
  <si>
    <t>podpora zvyšování kapacity předškolního vzdělávání</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</si>
</sst>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 &quot;Kč&quot;_-;\-* #,##0.00\ &quot;Kč&quot;_-;_-* &quot;-&quot;??\ &quot;Kč&quot;_-;_-@"/>
  </numFmts>
  <fonts count="26">
    <font>
      <sz val="10.0"/>
      <color rgb="FF000000"/>
      <name val="Calibri"/>
      <scheme val="minor"/>
    </font>
    <font>
      <b/>
      <sz val="26.0"/>
      <color theme="1"/>
      <name val="Arial"/>
    </font>
    <font>
      <b/>
      <sz val="14.0"/>
      <color rgb="FF000000"/>
      <name val="Calibri"/>
    </font>
    <font/>
    <font>
      <b/>
      <sz val="10.0"/>
      <color theme="1"/>
      <name val="Calibri"/>
    </font>
    <font>
      <b/>
      <sz val="10.0"/>
      <color rgb="FF0000FF"/>
      <name val="Calibri"/>
    </font>
    <font>
      <i/>
      <sz val="10.0"/>
      <color theme="1"/>
      <name val="Calibri"/>
    </font>
    <font>
      <b/>
      <sz val="9.0"/>
      <color theme="1"/>
      <name val="Calibri"/>
    </font>
    <font>
      <sz val="12.0"/>
      <color theme="1"/>
      <name val="Calibri"/>
    </font>
    <font>
      <sz val="11.0"/>
      <color theme="1"/>
      <name val="Calibri"/>
    </font>
    <font>
      <sz val="10.0"/>
      <color theme="1"/>
      <name val="Calibri"/>
    </font>
    <font>
      <sz val="9.0"/>
      <color theme="1"/>
      <name val="Calibri"/>
    </font>
    <font>
      <sz val="10.0"/>
      <color rgb="FF0000FF"/>
      <name val="Calibri"/>
    </font>
    <font>
      <b/>
      <sz val="11.0"/>
      <color theme="1"/>
      <name val="Calibri"/>
    </font>
    <font>
      <sz val="10.0"/>
      <color theme="1"/>
      <name val="Arial"/>
    </font>
    <font>
      <sz val="9.0"/>
      <color theme="1"/>
      <name val="Arial"/>
    </font>
    <font>
      <sz val="10.0"/>
      <color rgb="FF0000FF"/>
      <name val="Arial"/>
    </font>
    <font>
      <sz val="11.0"/>
      <color theme="1"/>
      <name val="Arial"/>
    </font>
    <font>
      <sz val="10.0"/>
      <color rgb="FF993300"/>
      <name val="Arial"/>
    </font>
    <font>
      <sz val="11.0"/>
      <color rgb="FF993300"/>
      <name val="Arial"/>
    </font>
    <font>
      <b/>
      <sz val="10.0"/>
      <color rgb="FF000000"/>
      <name val="Calibri"/>
    </font>
    <font>
      <sz val="10.0"/>
      <color rgb="FFFF0000"/>
      <name val="Calibri"/>
    </font>
    <font>
      <b/>
      <sz val="10.0"/>
      <color theme="1"/>
      <name val="Arial"/>
    </font>
    <font>
      <b/>
      <sz val="12.0"/>
      <color theme="1"/>
      <name val="Calibri"/>
    </font>
    <font>
      <b/>
      <sz val="8.0"/>
      <color theme="1"/>
      <name val="Calibri"/>
    </font>
    <font>
      <color theme="1"/>
      <name val="Calibri"/>
      <scheme val="minor"/>
    </font>
  </fonts>
  <fills count="16">
    <fill>
      <patternFill patternType="none"/>
    </fill>
    <fill>
      <patternFill patternType="lightGray"/>
    </fill>
    <fill>
      <patternFill patternType="solid">
        <fgColor rgb="FF33CCCC"/>
        <bgColor rgb="FF33CCCC"/>
      </patternFill>
    </fill>
    <fill>
      <patternFill patternType="solid">
        <fgColor rgb="FFCCFFFF"/>
        <bgColor rgb="FFCCFFFF"/>
      </patternFill>
    </fill>
    <fill>
      <patternFill patternType="solid">
        <fgColor rgb="FFFFFF99"/>
        <bgColor rgb="FFFFFF99"/>
      </patternFill>
    </fill>
    <fill>
      <patternFill patternType="solid">
        <fgColor rgb="FF92D050"/>
        <bgColor rgb="FF92D050"/>
      </patternFill>
    </fill>
    <fill>
      <patternFill patternType="solid">
        <fgColor theme="0"/>
        <bgColor theme="0"/>
      </patternFill>
    </fill>
    <fill>
      <patternFill patternType="solid">
        <fgColor rgb="FF00FF00"/>
        <bgColor rgb="FF00FF00"/>
      </patternFill>
    </fill>
    <fill>
      <patternFill patternType="solid">
        <fgColor rgb="FF339966"/>
        <bgColor rgb="FF339966"/>
      </patternFill>
    </fill>
    <fill>
      <patternFill patternType="solid">
        <fgColor rgb="FFCCFFCC"/>
        <bgColor rgb="FFCCFFCC"/>
      </patternFill>
    </fill>
    <fill>
      <patternFill patternType="solid">
        <fgColor rgb="FFFF0000"/>
        <bgColor rgb="FFFF0000"/>
      </patternFill>
    </fill>
    <fill>
      <patternFill patternType="solid">
        <fgColor rgb="FFA8D08D"/>
        <bgColor rgb="FFA8D08D"/>
      </patternFill>
    </fill>
    <fill>
      <patternFill patternType="solid">
        <fgColor rgb="FFFFFF00"/>
        <bgColor rgb="FFFFFF00"/>
      </patternFill>
    </fill>
    <fill>
      <patternFill patternType="solid">
        <fgColor rgb="FFFFFFFF"/>
        <bgColor rgb="FFFFFFFF"/>
      </patternFill>
    </fill>
    <fill>
      <patternFill patternType="solid">
        <fgColor rgb="FFFF8080"/>
        <bgColor rgb="FFFF8080"/>
      </patternFill>
    </fill>
    <fill>
      <patternFill patternType="solid">
        <fgColor rgb="FFFFCC99"/>
        <bgColor rgb="FFFFCC99"/>
      </patternFill>
    </fill>
  </fills>
  <borders count="88">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medium">
        <color rgb="FF000000"/>
      </right>
      <top style="medium">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top style="medium">
        <color rgb="FF000000"/>
      </top>
    </border>
    <border>
      <left style="medium">
        <color rgb="FF000000"/>
      </left>
      <right style="medium">
        <color rgb="FF000000"/>
      </right>
      <top/>
      <bottom/>
    </border>
    <border>
      <left style="medium">
        <color rgb="FF000000"/>
      </left>
      <right style="thin">
        <color rgb="FF000000"/>
      </right>
      <top/>
      <bottom/>
    </border>
    <border>
      <left style="thin">
        <color rgb="FF000000"/>
      </left>
      <right style="thin">
        <color rgb="FF000000"/>
      </right>
      <top/>
      <bottom/>
    </border>
    <border>
      <left style="thin">
        <color rgb="FF000000"/>
      </left>
      <right style="medium">
        <color rgb="FF000000"/>
      </right>
      <top/>
      <bottom/>
    </border>
    <border>
      <left style="medium">
        <color rgb="FF000000"/>
      </left>
    </border>
    <border>
      <left style="medium">
        <color rgb="FF000000"/>
      </left>
      <right style="medium">
        <color rgb="FF000000"/>
      </right>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right style="thin">
        <color rgb="FF000000"/>
      </right>
      <top style="medium">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right style="thin">
        <color rgb="FF000000"/>
      </right>
      <top style="medium">
        <color rgb="FF000000"/>
      </top>
    </border>
    <border>
      <left style="medium">
        <color rgb="FF000000"/>
      </left>
      <right style="thin">
        <color rgb="FF000000"/>
      </right>
      <top style="medium">
        <color rgb="FF000000"/>
      </top>
    </border>
    <border>
      <left style="medium">
        <color rgb="FF000000"/>
      </left>
      <right/>
      <top style="medium">
        <color rgb="FF000000"/>
      </top>
    </border>
    <border>
      <left style="medium">
        <color rgb="FF000000"/>
      </left>
      <right/>
      <bottom style="medium">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border>
    <border>
      <left style="medium">
        <color rgb="FF000000"/>
      </left>
      <right style="medium">
        <color rgb="FF000000"/>
      </right>
      <top/>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medium">
        <color rgb="FF000000"/>
      </right>
      <bottom/>
    </border>
    <border>
      <left style="medium">
        <color rgb="FF000000"/>
      </left>
      <right/>
      <top style="medium">
        <color rgb="FF000000"/>
      </top>
      <bottom style="medium">
        <color rgb="FF000000"/>
      </bottom>
    </border>
    <border>
      <left style="medium">
        <color rgb="FF000000"/>
      </left>
      <right/>
      <top style="medium">
        <color rgb="FF000000"/>
      </top>
      <bottom/>
    </border>
    <border>
      <left style="medium">
        <color rgb="FF000000"/>
      </left>
      <right/>
      <bottom/>
    </border>
    <border>
      <left style="medium">
        <color rgb="FF000000"/>
      </left>
      <right style="thin">
        <color rgb="FF000000"/>
      </right>
      <bottom style="medium">
        <color rgb="FF000000"/>
      </bottom>
    </border>
    <border>
      <left/>
      <right style="medium">
        <color rgb="FF000000"/>
      </right>
      <top style="medium">
        <color rgb="FF000000"/>
      </top>
      <bottom/>
    </border>
    <border>
      <left/>
      <right style="medium">
        <color rgb="FF000000"/>
      </right>
      <top/>
      <bottom/>
    </border>
    <border>
      <left/>
      <right style="medium">
        <color rgb="FF000000"/>
      </right>
      <top/>
      <bottom style="medium">
        <color rgb="FF000000"/>
      </bottom>
    </border>
    <border>
      <left style="thin">
        <color rgb="FF000000"/>
      </left>
      <top style="medium">
        <color rgb="FF000000"/>
      </top>
    </border>
    <border>
      <left style="thin">
        <color rgb="FF000000"/>
      </left>
    </border>
    <border>
      <left style="thin">
        <color rgb="FF000000"/>
      </left>
      <bottom style="medium">
        <color rgb="FF000000"/>
      </bottom>
    </border>
    <border>
      <left style="thin">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medium">
        <color rgb="FF000000"/>
      </bottom>
    </border>
    <border>
      <left style="thin">
        <color rgb="FF000000"/>
      </left>
      <right/>
      <top style="medium">
        <color rgb="FF000000"/>
      </top>
      <bottom style="thin">
        <color rgb="FF000000"/>
      </bottom>
    </border>
    <border>
      <left style="thin">
        <color rgb="FF000000"/>
      </left>
      <right/>
      <top style="thin">
        <color rgb="FF000000"/>
      </top>
      <bottom style="medium">
        <color rgb="FF000000"/>
      </bottom>
    </border>
    <border>
      <left style="thin">
        <color rgb="FF000000"/>
      </left>
      <top style="medium">
        <color rgb="FF000000"/>
      </top>
      <bottom style="medium">
        <color rgb="FF000000"/>
      </bottom>
    </border>
  </borders>
  <cellStyleXfs count="1">
    <xf borderId="0" fillId="0" fontId="0" numFmtId="0" applyAlignment="1" applyFont="1"/>
  </cellStyleXfs>
  <cellXfs count="481">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shrinkToFit="0" wrapText="1"/>
    </xf>
    <xf borderId="2" fillId="0" fontId="3" numFmtId="0" xfId="0" applyBorder="1" applyFont="1"/>
    <xf borderId="3" fillId="0" fontId="3" numFmtId="0" xfId="0" applyBorder="1" applyFont="1"/>
    <xf borderId="4" fillId="2" fontId="4" numFmtId="0" xfId="0" applyAlignment="1" applyBorder="1" applyFont="1">
      <alignment horizontal="center" shrinkToFit="0" textRotation="90" vertical="center" wrapText="1"/>
    </xf>
    <xf borderId="5" fillId="2" fontId="4" numFmtId="0" xfId="0" applyAlignment="1" applyBorder="1" applyFont="1">
      <alignment horizontal="center" shrinkToFit="0" vertical="center" wrapText="1"/>
    </xf>
    <xf borderId="6" fillId="2" fontId="4" numFmtId="0" xfId="0" applyAlignment="1" applyBorder="1" applyFont="1">
      <alignment horizontal="center" shrinkToFit="0" wrapText="1"/>
    </xf>
    <xf borderId="6" fillId="2" fontId="4" numFmtId="0" xfId="0" applyAlignment="1" applyBorder="1" applyFont="1">
      <alignment horizontal="center" shrinkToFit="0" vertical="center" wrapText="1"/>
    </xf>
    <xf borderId="6" fillId="2" fontId="4" numFmtId="3" xfId="0" applyAlignment="1" applyBorder="1" applyFont="1" applyNumberFormat="1">
      <alignment horizontal="center" shrinkToFit="0" wrapText="1"/>
    </xf>
    <xf borderId="7" fillId="2" fontId="4" numFmtId="0" xfId="0" applyAlignment="1" applyBorder="1" applyFont="1">
      <alignment horizontal="center" shrinkToFit="0" wrapText="1"/>
    </xf>
    <xf borderId="8" fillId="0" fontId="5" numFmtId="0" xfId="0" applyAlignment="1" applyBorder="1" applyFont="1">
      <alignment horizontal="center" shrinkToFit="0" wrapText="1"/>
    </xf>
    <xf borderId="4" fillId="2" fontId="4" numFmtId="0" xfId="0" applyAlignment="1" applyBorder="1" applyFont="1">
      <alignment horizontal="center" shrinkToFit="0" vertical="center" wrapText="1"/>
    </xf>
    <xf borderId="9" fillId="2" fontId="4" numFmtId="0" xfId="0" applyAlignment="1" applyBorder="1" applyFont="1">
      <alignment horizontal="center" shrinkToFit="0" textRotation="90" vertical="center" wrapText="1"/>
    </xf>
    <xf borderId="10" fillId="2" fontId="4" numFmtId="0" xfId="0" applyAlignment="1" applyBorder="1" applyFont="1">
      <alignment horizontal="center" shrinkToFit="0" vertical="center" wrapText="1"/>
    </xf>
    <xf borderId="11" fillId="2" fontId="6" numFmtId="0" xfId="0" applyAlignment="1" applyBorder="1" applyFont="1">
      <alignment horizontal="center" shrinkToFit="0" wrapText="1"/>
    </xf>
    <xf borderId="11" fillId="2" fontId="4" numFmtId="0" xfId="0" applyAlignment="1" applyBorder="1" applyFont="1">
      <alignment horizontal="center" shrinkToFit="0" vertical="center" wrapText="1"/>
    </xf>
    <xf borderId="11" fillId="2" fontId="4" numFmtId="3" xfId="0" applyAlignment="1" applyBorder="1" applyFont="1" applyNumberFormat="1">
      <alignment horizontal="center" shrinkToFit="0" wrapText="1"/>
    </xf>
    <xf borderId="12" fillId="2" fontId="4" numFmtId="0" xfId="0" applyAlignment="1" applyBorder="1" applyFont="1">
      <alignment horizontal="center" shrinkToFit="0" wrapText="1"/>
    </xf>
    <xf borderId="13" fillId="0" fontId="5" numFmtId="0" xfId="0" applyAlignment="1" applyBorder="1" applyFont="1">
      <alignment horizontal="center" shrinkToFit="0" wrapText="1"/>
    </xf>
    <xf borderId="9" fillId="2" fontId="4" numFmtId="0" xfId="0" applyAlignment="1" applyBorder="1" applyFont="1">
      <alignment horizontal="center" shrinkToFit="0" vertical="center" wrapText="1"/>
    </xf>
    <xf borderId="14" fillId="2" fontId="4" numFmtId="0" xfId="0" applyAlignment="1" applyBorder="1" applyFont="1">
      <alignment horizontal="center" shrinkToFit="0" textRotation="90" vertical="center" wrapText="1"/>
    </xf>
    <xf borderId="15" fillId="2" fontId="4" numFmtId="0" xfId="0" applyAlignment="1" applyBorder="1" applyFont="1">
      <alignment horizontal="center" shrinkToFit="0" vertical="center" wrapText="1"/>
    </xf>
    <xf borderId="16" fillId="2" fontId="6" numFmtId="0" xfId="0" applyAlignment="1" applyBorder="1" applyFont="1">
      <alignment horizontal="center" shrinkToFit="0" wrapText="1"/>
    </xf>
    <xf borderId="16" fillId="2" fontId="4" numFmtId="0" xfId="0" applyAlignment="1" applyBorder="1" applyFont="1">
      <alignment horizontal="center" shrinkToFit="0" vertical="center" wrapText="1"/>
    </xf>
    <xf borderId="16" fillId="2" fontId="4" numFmtId="3" xfId="0" applyAlignment="1" applyBorder="1" applyFont="1" applyNumberFormat="1">
      <alignment horizontal="center" shrinkToFit="0" wrapText="1"/>
    </xf>
    <xf borderId="17" fillId="2" fontId="4" numFmtId="0" xfId="0" applyAlignment="1" applyBorder="1" applyFont="1">
      <alignment horizontal="center" shrinkToFit="0" wrapText="1"/>
    </xf>
    <xf borderId="18" fillId="0" fontId="5" numFmtId="0" xfId="0" applyAlignment="1" applyBorder="1" applyFont="1">
      <alignment horizontal="center" shrinkToFit="0" wrapText="1"/>
    </xf>
    <xf borderId="14" fillId="2" fontId="4" numFmtId="0" xfId="0" applyAlignment="1" applyBorder="1" applyFont="1">
      <alignment horizontal="center" shrinkToFit="0" vertical="center" wrapText="1"/>
    </xf>
    <xf borderId="19" fillId="0" fontId="7" numFmtId="0" xfId="0" applyAlignment="1" applyBorder="1" applyFont="1">
      <alignment horizontal="center" shrinkToFit="0" textRotation="90" vertical="center" wrapText="1"/>
    </xf>
    <xf borderId="19" fillId="3" fontId="8" numFmtId="0" xfId="0" applyAlignment="1" applyBorder="1" applyFill="1" applyFont="1">
      <alignment horizontal="left" shrinkToFit="0" vertical="center" wrapText="1"/>
    </xf>
    <xf borderId="20" fillId="3" fontId="9" numFmtId="0" xfId="0" applyAlignment="1" applyBorder="1" applyFont="1">
      <alignment shrinkToFit="0" vertical="center" wrapText="1"/>
    </xf>
    <xf borderId="21" fillId="3" fontId="10" numFmtId="0" xfId="0" applyAlignment="1" applyBorder="1" applyFont="1">
      <alignment horizontal="center" shrinkToFit="0" vertical="center" wrapText="1"/>
    </xf>
    <xf borderId="21" fillId="3" fontId="11" numFmtId="0" xfId="0" applyAlignment="1" applyBorder="1" applyFont="1">
      <alignment horizontal="center" shrinkToFit="0" vertical="center" wrapText="1"/>
    </xf>
    <xf borderId="21" fillId="3" fontId="10" numFmtId="3" xfId="0" applyAlignment="1" applyBorder="1" applyFont="1" applyNumberFormat="1">
      <alignment vertical="center"/>
    </xf>
    <xf borderId="22" fillId="3" fontId="10" numFmtId="0" xfId="0" applyAlignment="1" applyBorder="1" applyFont="1">
      <alignment horizontal="right" vertical="center"/>
    </xf>
    <xf borderId="20" fillId="0" fontId="12" numFmtId="0" xfId="0" applyAlignment="1" applyBorder="1" applyFont="1">
      <alignment horizontal="right" vertical="center"/>
    </xf>
    <xf borderId="21" fillId="4" fontId="10" numFmtId="0" xfId="0" applyAlignment="1" applyBorder="1" applyFill="1" applyFont="1">
      <alignment horizontal="center" shrinkToFit="0" vertical="center" wrapText="1"/>
    </xf>
    <xf borderId="22" fillId="0" fontId="9" numFmtId="0" xfId="0" applyAlignment="1" applyBorder="1" applyFont="1">
      <alignment horizontal="left" shrinkToFit="0" vertical="center" wrapText="1"/>
    </xf>
    <xf borderId="23" fillId="0" fontId="3" numFmtId="0" xfId="0" applyBorder="1" applyFont="1"/>
    <xf borderId="24" fillId="0" fontId="3" numFmtId="0" xfId="0" applyBorder="1" applyFont="1"/>
    <xf borderId="15" fillId="3" fontId="13" numFmtId="0" xfId="0" applyAlignment="1" applyBorder="1" applyFont="1">
      <alignment shrinkToFit="0" vertical="center" wrapText="1"/>
    </xf>
    <xf borderId="16" fillId="3" fontId="10" numFmtId="0" xfId="0" applyAlignment="1" applyBorder="1" applyFont="1">
      <alignment horizontal="center" shrinkToFit="0" vertical="center" wrapText="1"/>
    </xf>
    <xf borderId="16" fillId="3" fontId="11" numFmtId="0" xfId="0" applyAlignment="1" applyBorder="1" applyFont="1">
      <alignment horizontal="center" shrinkToFit="0" vertical="center" wrapText="1"/>
    </xf>
    <xf borderId="16" fillId="3" fontId="10" numFmtId="3" xfId="0" applyAlignment="1" applyBorder="1" applyFont="1" applyNumberFormat="1">
      <alignment vertical="center"/>
    </xf>
    <xf borderId="17" fillId="3" fontId="10" numFmtId="0" xfId="0" applyAlignment="1" applyBorder="1" applyFont="1">
      <alignment horizontal="right" vertical="center"/>
    </xf>
    <xf borderId="25" fillId="5" fontId="12" numFmtId="0" xfId="0" applyAlignment="1" applyBorder="1" applyFill="1" applyFont="1">
      <alignment horizontal="right" vertical="center"/>
    </xf>
    <xf borderId="26" fillId="4" fontId="10" numFmtId="0" xfId="0" applyAlignment="1" applyBorder="1" applyFont="1">
      <alignment horizontal="center" shrinkToFit="0" vertical="center" wrapText="1"/>
    </xf>
    <xf borderId="27" fillId="0" fontId="9" numFmtId="0" xfId="0" applyAlignment="1" applyBorder="1" applyFont="1">
      <alignment horizontal="left" shrinkToFit="0" vertical="center" wrapText="1"/>
    </xf>
    <xf borderId="28" fillId="0" fontId="8" numFmtId="0" xfId="0" applyAlignment="1" applyBorder="1" applyFont="1">
      <alignment horizontal="left" shrinkToFit="0" vertical="center" wrapText="1"/>
    </xf>
    <xf borderId="29" fillId="0" fontId="6" numFmtId="0" xfId="0" applyAlignment="1" applyBorder="1" applyFont="1">
      <alignment horizontal="left" shrinkToFit="0" vertical="center" wrapText="1"/>
    </xf>
    <xf borderId="30" fillId="0" fontId="3" numFmtId="0" xfId="0" applyBorder="1" applyFont="1"/>
    <xf borderId="31" fillId="0" fontId="3" numFmtId="0" xfId="0" applyBorder="1" applyFont="1"/>
    <xf borderId="32" fillId="0" fontId="12" numFmtId="0" xfId="0" applyAlignment="1" applyBorder="1" applyFont="1">
      <alignment horizontal="center" vertical="center"/>
    </xf>
    <xf borderId="33" fillId="6" fontId="10" numFmtId="0" xfId="0" applyAlignment="1" applyBorder="1" applyFill="1" applyFont="1">
      <alignment horizontal="center" shrinkToFit="0" vertical="center" wrapText="1"/>
    </xf>
    <xf borderId="34" fillId="0" fontId="9" numFmtId="0" xfId="0" applyAlignment="1" applyBorder="1" applyFont="1">
      <alignment horizontal="left" shrinkToFit="0" vertical="center" wrapText="1"/>
    </xf>
    <xf borderId="4" fillId="3" fontId="8" numFmtId="0" xfId="0" applyAlignment="1" applyBorder="1" applyFont="1">
      <alignment horizontal="left" shrinkToFit="0" vertical="center" wrapText="1"/>
    </xf>
    <xf borderId="35" fillId="3" fontId="6" numFmtId="0" xfId="0" applyAlignment="1" applyBorder="1" applyFont="1">
      <alignment horizontal="left" shrinkToFit="0" vertical="center" wrapText="1"/>
    </xf>
    <xf borderId="36" fillId="0" fontId="3" numFmtId="0" xfId="0" applyBorder="1" applyFont="1"/>
    <xf borderId="37" fillId="0" fontId="3" numFmtId="0" xfId="0" applyBorder="1" applyFont="1"/>
    <xf borderId="20" fillId="0" fontId="12" numFmtId="0" xfId="0" applyAlignment="1" applyBorder="1" applyFont="1">
      <alignment horizontal="center" vertical="center"/>
    </xf>
    <xf borderId="38" fillId="4" fontId="10" numFmtId="0" xfId="0" applyAlignment="1" applyBorder="1" applyFont="1">
      <alignment horizontal="center" shrinkToFit="0" vertical="center" wrapText="1"/>
    </xf>
    <xf borderId="39" fillId="0" fontId="9" numFmtId="0" xfId="0" applyAlignment="1" applyBorder="1" applyFont="1">
      <alignment horizontal="left" shrinkToFit="0" vertical="center" wrapText="1"/>
    </xf>
    <xf borderId="25" fillId="0" fontId="12" numFmtId="0" xfId="0" applyAlignment="1" applyBorder="1" applyFont="1">
      <alignment horizontal="center" shrinkToFit="0" vertical="center" wrapText="1"/>
    </xf>
    <xf borderId="40" fillId="0" fontId="3" numFmtId="0" xfId="0" applyBorder="1" applyFont="1"/>
    <xf borderId="41" fillId="0" fontId="3" numFmtId="0" xfId="0" applyBorder="1" applyFont="1"/>
    <xf borderId="20" fillId="3" fontId="13" numFmtId="0" xfId="0" applyAlignment="1" applyBorder="1" applyFont="1">
      <alignment shrinkToFit="0" vertical="center" wrapText="1"/>
    </xf>
    <xf borderId="20" fillId="5" fontId="12" numFmtId="0" xfId="0" applyAlignment="1" applyBorder="1" applyFont="1">
      <alignment horizontal="center" vertical="center"/>
    </xf>
    <xf borderId="21" fillId="7" fontId="10" numFmtId="0" xfId="0" applyAlignment="1" applyBorder="1" applyFill="1" applyFont="1">
      <alignment horizontal="center" shrinkToFit="0" vertical="center" wrapText="1"/>
    </xf>
    <xf borderId="25" fillId="0" fontId="12" numFmtId="0" xfId="0" applyAlignment="1" applyBorder="1" applyFont="1">
      <alignment horizontal="center" vertical="center"/>
    </xf>
    <xf borderId="26" fillId="7" fontId="10"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0" fillId="6" fontId="13" numFmtId="0" xfId="0" applyAlignment="1" applyBorder="1" applyFont="1">
      <alignment shrinkToFit="0" vertical="center" wrapText="1"/>
    </xf>
    <xf borderId="21" fillId="6" fontId="10" numFmtId="0" xfId="0" applyAlignment="1" applyBorder="1" applyFont="1">
      <alignment horizontal="center" shrinkToFit="0" vertical="center" wrapText="1"/>
    </xf>
    <xf borderId="21" fillId="6" fontId="11" numFmtId="0" xfId="0" applyAlignment="1" applyBorder="1" applyFont="1">
      <alignment horizontal="center" shrinkToFit="0" vertical="center" wrapText="1"/>
    </xf>
    <xf borderId="21" fillId="6" fontId="10" numFmtId="3" xfId="0" applyAlignment="1" applyBorder="1" applyFont="1" applyNumberFormat="1">
      <alignment vertical="center"/>
    </xf>
    <xf borderId="21" fillId="6" fontId="10" numFmtId="3" xfId="0" applyAlignment="1" applyBorder="1" applyFont="1" applyNumberFormat="1">
      <alignment horizontal="right" vertical="center"/>
    </xf>
    <xf borderId="22" fillId="6" fontId="10" numFmtId="0" xfId="0" applyAlignment="1" applyBorder="1" applyFont="1">
      <alignment horizontal="right" vertical="center"/>
    </xf>
    <xf borderId="25" fillId="6" fontId="13" numFmtId="0" xfId="0" applyAlignment="1" applyBorder="1" applyFont="1">
      <alignment shrinkToFit="0" vertical="center" wrapText="1"/>
    </xf>
    <xf borderId="26" fillId="6" fontId="10" numFmtId="0" xfId="0" applyAlignment="1" applyBorder="1" applyFont="1">
      <alignment horizontal="center" shrinkToFit="0" vertical="center" wrapText="1"/>
    </xf>
    <xf borderId="26" fillId="6" fontId="11" numFmtId="0" xfId="0" applyAlignment="1" applyBorder="1" applyFont="1">
      <alignment horizontal="center" shrinkToFit="0" vertical="center" wrapText="1"/>
    </xf>
    <xf borderId="26" fillId="6" fontId="10" numFmtId="3" xfId="0" applyAlignment="1" applyBorder="1" applyFont="1" applyNumberFormat="1">
      <alignment vertical="center"/>
    </xf>
    <xf borderId="26" fillId="6" fontId="10" numFmtId="3" xfId="0" applyAlignment="1" applyBorder="1" applyFont="1" applyNumberFormat="1">
      <alignment horizontal="right" vertical="center"/>
    </xf>
    <xf borderId="27" fillId="6" fontId="10" numFmtId="0" xfId="0" applyAlignment="1" applyBorder="1" applyFont="1">
      <alignment horizontal="right" vertical="center"/>
    </xf>
    <xf borderId="25" fillId="0" fontId="12" numFmtId="0" xfId="0" applyAlignment="1" applyBorder="1" applyFont="1">
      <alignment horizontal="right" vertical="center"/>
    </xf>
    <xf borderId="28" fillId="3" fontId="8" numFmtId="0" xfId="0" applyAlignment="1" applyBorder="1" applyFont="1">
      <alignment horizontal="left" shrinkToFit="0" vertical="center" wrapText="1"/>
    </xf>
    <xf borderId="29" fillId="3" fontId="6" numFmtId="0" xfId="0" applyAlignment="1" applyBorder="1" applyFont="1">
      <alignment horizontal="left" shrinkToFit="0" vertical="center" wrapText="1"/>
    </xf>
    <xf borderId="32" fillId="0" fontId="12" numFmtId="2" xfId="0" applyAlignment="1" applyBorder="1" applyFont="1" applyNumberFormat="1">
      <alignment horizontal="center" shrinkToFit="0" vertical="center" wrapText="1"/>
    </xf>
    <xf borderId="33" fillId="4" fontId="10" numFmtId="0" xfId="0" applyAlignment="1" applyBorder="1" applyFont="1">
      <alignment horizontal="center" shrinkToFit="0" vertical="center" wrapText="1"/>
    </xf>
    <xf borderId="32" fillId="6" fontId="12" numFmtId="0" xfId="0" applyAlignment="1" applyBorder="1" applyFont="1">
      <alignment horizontal="center" vertical="center"/>
    </xf>
    <xf borderId="20" fillId="0" fontId="13" numFmtId="0" xfId="0" applyAlignment="1" applyBorder="1" applyFont="1">
      <alignment shrinkToFit="0" vertical="center" wrapText="1"/>
    </xf>
    <xf borderId="21" fillId="0" fontId="10" numFmtId="0" xfId="0" applyAlignment="1" applyBorder="1" applyFont="1">
      <alignment horizontal="center" shrinkToFit="0" vertical="center" wrapText="1"/>
    </xf>
    <xf borderId="21" fillId="0" fontId="11" numFmtId="0" xfId="0" applyAlignment="1" applyBorder="1" applyFont="1">
      <alignment horizontal="center" shrinkToFit="0" vertical="center" wrapText="1"/>
    </xf>
    <xf borderId="21" fillId="0" fontId="10" numFmtId="3" xfId="0" applyAlignment="1" applyBorder="1" applyFont="1" applyNumberFormat="1">
      <alignment horizontal="right" vertical="center"/>
    </xf>
    <xf borderId="22" fillId="0" fontId="10" numFmtId="0" xfId="0" applyAlignment="1" applyBorder="1" applyFont="1">
      <alignment horizontal="right" vertical="center"/>
    </xf>
    <xf borderId="25" fillId="0" fontId="13" numFmtId="0" xfId="0" applyAlignment="1" applyBorder="1" applyFont="1">
      <alignment shrinkToFit="0" vertical="center" wrapText="1"/>
    </xf>
    <xf borderId="26" fillId="0" fontId="10" numFmtId="0" xfId="0" applyAlignment="1" applyBorder="1" applyFont="1">
      <alignment horizontal="center" shrinkToFit="0" vertical="center" wrapText="1"/>
    </xf>
    <xf borderId="26" fillId="0" fontId="11" numFmtId="0" xfId="0" applyAlignment="1" applyBorder="1" applyFont="1">
      <alignment horizontal="center" shrinkToFit="0" vertical="center" wrapText="1"/>
    </xf>
    <xf borderId="26" fillId="0" fontId="10" numFmtId="3" xfId="0" applyAlignment="1" applyBorder="1" applyFont="1" applyNumberFormat="1">
      <alignment horizontal="right" vertical="center"/>
    </xf>
    <xf borderId="27" fillId="0" fontId="10" numFmtId="0" xfId="0" applyAlignment="1" applyBorder="1" applyFont="1">
      <alignment horizontal="right" vertical="center"/>
    </xf>
    <xf borderId="25" fillId="5" fontId="12" numFmtId="0" xfId="0" applyAlignment="1" applyBorder="1" applyFont="1">
      <alignment horizontal="center" vertical="center"/>
    </xf>
    <xf borderId="21" fillId="3" fontId="10" numFmtId="3" xfId="0" applyAlignment="1" applyBorder="1" applyFont="1" applyNumberFormat="1">
      <alignment horizontal="right" vertical="center"/>
    </xf>
    <xf borderId="22" fillId="3" fontId="10" numFmtId="0" xfId="0" applyAlignment="1" applyBorder="1" applyFont="1">
      <alignment horizontal="right" shrinkToFit="0" vertical="center" wrapText="1"/>
    </xf>
    <xf borderId="20" fillId="5" fontId="12" numFmtId="0" xfId="0" applyAlignment="1" applyBorder="1" applyFont="1">
      <alignment horizontal="center" shrinkToFit="0" vertical="center" wrapText="1"/>
    </xf>
    <xf borderId="42" fillId="3" fontId="13" numFmtId="0" xfId="0" applyAlignment="1" applyBorder="1" applyFont="1">
      <alignment shrinkToFit="0" vertical="center" wrapText="1"/>
    </xf>
    <xf borderId="43" fillId="3" fontId="10" numFmtId="0" xfId="0" applyAlignment="1" applyBorder="1" applyFont="1">
      <alignment horizontal="center" shrinkToFit="0" vertical="center" wrapText="1"/>
    </xf>
    <xf borderId="43" fillId="3" fontId="11" numFmtId="0" xfId="0" applyAlignment="1" applyBorder="1" applyFont="1">
      <alignment horizontal="center" shrinkToFit="0" vertical="center" wrapText="1"/>
    </xf>
    <xf borderId="43" fillId="3" fontId="10" numFmtId="3" xfId="0" applyAlignment="1" applyBorder="1" applyFont="1" applyNumberFormat="1">
      <alignment vertical="center"/>
    </xf>
    <xf borderId="43" fillId="3" fontId="10" numFmtId="3" xfId="0" applyAlignment="1" applyBorder="1" applyFont="1" applyNumberFormat="1">
      <alignment horizontal="right" vertical="center"/>
    </xf>
    <xf borderId="44" fillId="3" fontId="10" numFmtId="0" xfId="0" applyAlignment="1" applyBorder="1" applyFont="1">
      <alignment horizontal="right" shrinkToFit="0" vertical="center" wrapText="1"/>
    </xf>
    <xf borderId="42" fillId="0" fontId="12" numFmtId="0" xfId="0" applyAlignment="1" applyBorder="1" applyFont="1">
      <alignment horizontal="right" vertical="center"/>
    </xf>
    <xf borderId="43" fillId="7" fontId="10" numFmtId="0" xfId="0" applyAlignment="1" applyBorder="1" applyFont="1">
      <alignment horizontal="center" shrinkToFit="0" vertical="center" wrapText="1"/>
    </xf>
    <xf borderId="44" fillId="0" fontId="9" numFmtId="0" xfId="0" applyAlignment="1" applyBorder="1" applyFont="1">
      <alignment horizontal="left" shrinkToFit="0" vertical="center" wrapText="1"/>
    </xf>
    <xf borderId="44" fillId="3" fontId="10" numFmtId="0" xfId="0" applyAlignment="1" applyBorder="1" applyFont="1">
      <alignment horizontal="right" vertical="center"/>
    </xf>
    <xf borderId="25" fillId="3" fontId="13" numFmtId="0" xfId="0" applyAlignment="1" applyBorder="1" applyFont="1">
      <alignment shrinkToFit="0" vertical="center" wrapText="1"/>
    </xf>
    <xf borderId="26" fillId="3" fontId="10" numFmtId="0" xfId="0" applyAlignment="1" applyBorder="1" applyFont="1">
      <alignment horizontal="center" shrinkToFit="0" vertical="center" wrapText="1"/>
    </xf>
    <xf borderId="26" fillId="3" fontId="11" numFmtId="0" xfId="0" applyAlignment="1" applyBorder="1" applyFont="1">
      <alignment horizontal="center" shrinkToFit="0" vertical="center" wrapText="1"/>
    </xf>
    <xf borderId="26" fillId="3" fontId="10" numFmtId="3" xfId="0" applyAlignment="1" applyBorder="1" applyFont="1" applyNumberFormat="1">
      <alignment vertical="center"/>
    </xf>
    <xf borderId="27" fillId="3" fontId="10" numFmtId="0" xfId="0" applyAlignment="1" applyBorder="1" applyFont="1">
      <alignment horizontal="right" vertical="center"/>
    </xf>
    <xf borderId="16" fillId="3" fontId="10" numFmtId="3" xfId="0" applyAlignment="1" applyBorder="1" applyFont="1" applyNumberFormat="1">
      <alignment horizontal="right" vertical="center"/>
    </xf>
    <xf borderId="17" fillId="3" fontId="10" numFmtId="0" xfId="0" applyAlignment="1" applyBorder="1" applyFont="1">
      <alignment horizontal="right" shrinkToFit="0" vertical="center" wrapText="1"/>
    </xf>
    <xf borderId="0" fillId="0" fontId="7" numFmtId="0" xfId="0" applyAlignment="1" applyFont="1">
      <alignment horizontal="center" shrinkToFit="0" vertical="center" wrapText="1"/>
    </xf>
    <xf borderId="0" fillId="0" fontId="8" numFmtId="0" xfId="0" applyAlignment="1" applyFont="1">
      <alignment horizontal="left" shrinkToFit="0" vertical="center" wrapText="1"/>
    </xf>
    <xf borderId="0" fillId="0" fontId="14" numFmtId="0" xfId="0" applyAlignment="1" applyFont="1">
      <alignment horizontal="center" shrinkToFit="0" wrapText="1"/>
    </xf>
    <xf borderId="0" fillId="0" fontId="15" numFmtId="0" xfId="0" applyAlignment="1" applyFont="1">
      <alignment shrinkToFit="0" wrapText="1"/>
    </xf>
    <xf borderId="0" fillId="0" fontId="14" numFmtId="3" xfId="0" applyFont="1" applyNumberFormat="1"/>
    <xf borderId="0" fillId="0" fontId="16" numFmtId="0" xfId="0" applyAlignment="1" applyFont="1">
      <alignment horizontal="center"/>
    </xf>
    <xf borderId="0" fillId="0" fontId="14" numFmtId="0" xfId="0" applyAlignment="1" applyFont="1">
      <alignment shrinkToFit="0" wrapText="1"/>
    </xf>
    <xf borderId="0" fillId="0" fontId="17" numFmtId="0" xfId="0" applyAlignment="1" applyFont="1">
      <alignment shrinkToFit="0" wrapText="1"/>
    </xf>
    <xf borderId="29" fillId="8" fontId="2" numFmtId="0" xfId="0" applyAlignment="1" applyBorder="1" applyFill="1" applyFont="1">
      <alignment horizontal="center" shrinkToFit="0" wrapText="1"/>
    </xf>
    <xf borderId="4" fillId="8" fontId="4" numFmtId="0" xfId="0" applyAlignment="1" applyBorder="1" applyFont="1">
      <alignment horizontal="center" shrinkToFit="0" textRotation="90" vertical="center" wrapText="1"/>
    </xf>
    <xf borderId="5" fillId="8" fontId="4" numFmtId="0" xfId="0" applyAlignment="1" applyBorder="1" applyFont="1">
      <alignment horizontal="center" shrinkToFit="0" vertical="center" wrapText="1"/>
    </xf>
    <xf borderId="6" fillId="8" fontId="4" numFmtId="0" xfId="0" applyAlignment="1" applyBorder="1" applyFont="1">
      <alignment horizontal="center" shrinkToFit="0" wrapText="1"/>
    </xf>
    <xf borderId="6" fillId="8" fontId="4" numFmtId="0" xfId="0" applyAlignment="1" applyBorder="1" applyFont="1">
      <alignment horizontal="center" shrinkToFit="0" vertical="center" wrapText="1"/>
    </xf>
    <xf borderId="6" fillId="8" fontId="4" numFmtId="3" xfId="0" applyAlignment="1" applyBorder="1" applyFont="1" applyNumberFormat="1">
      <alignment horizontal="center" shrinkToFit="0" wrapText="1"/>
    </xf>
    <xf borderId="7" fillId="8" fontId="4" numFmtId="0" xfId="0" applyAlignment="1" applyBorder="1" applyFont="1">
      <alignment horizontal="center" shrinkToFit="0" wrapText="1"/>
    </xf>
    <xf borderId="20" fillId="0" fontId="5" numFmtId="0" xfId="0" applyAlignment="1" applyBorder="1" applyFont="1">
      <alignment horizontal="center" shrinkToFit="0" wrapText="1"/>
    </xf>
    <xf borderId="21" fillId="8" fontId="4" numFmtId="3" xfId="0" applyAlignment="1" applyBorder="1" applyFont="1" applyNumberFormat="1">
      <alignment horizontal="center" shrinkToFit="0" vertical="center" wrapText="1"/>
    </xf>
    <xf borderId="22" fillId="8" fontId="4" numFmtId="3" xfId="0" applyAlignment="1" applyBorder="1" applyFont="1" applyNumberFormat="1">
      <alignment horizontal="center" shrinkToFit="0" vertical="center" wrapText="1"/>
    </xf>
    <xf borderId="9" fillId="8" fontId="4" numFmtId="0" xfId="0" applyAlignment="1" applyBorder="1" applyFont="1">
      <alignment horizontal="center" shrinkToFit="0" textRotation="90" vertical="center" wrapText="1"/>
    </xf>
    <xf borderId="10" fillId="8" fontId="4" numFmtId="0" xfId="0" applyAlignment="1" applyBorder="1" applyFont="1">
      <alignment horizontal="center" shrinkToFit="0" vertical="center" wrapText="1"/>
    </xf>
    <xf borderId="11" fillId="8" fontId="6" numFmtId="0" xfId="0" applyAlignment="1" applyBorder="1" applyFont="1">
      <alignment horizontal="center" shrinkToFit="0" wrapText="1"/>
    </xf>
    <xf borderId="11" fillId="8" fontId="4" numFmtId="0" xfId="0" applyAlignment="1" applyBorder="1" applyFont="1">
      <alignment horizontal="center" shrinkToFit="0" vertical="center" wrapText="1"/>
    </xf>
    <xf borderId="11" fillId="8" fontId="4" numFmtId="3" xfId="0" applyAlignment="1" applyBorder="1" applyFont="1" applyNumberFormat="1">
      <alignment horizontal="center" shrinkToFit="0" wrapText="1"/>
    </xf>
    <xf borderId="12" fillId="8" fontId="4" numFmtId="0" xfId="0" applyAlignment="1" applyBorder="1" applyFont="1">
      <alignment horizontal="center" shrinkToFit="0" wrapText="1"/>
    </xf>
    <xf borderId="42" fillId="0" fontId="5" numFmtId="0" xfId="0" applyAlignment="1" applyBorder="1" applyFont="1">
      <alignment horizontal="center" shrinkToFit="0" wrapText="1"/>
    </xf>
    <xf borderId="43" fillId="8" fontId="4" numFmtId="3" xfId="0" applyAlignment="1" applyBorder="1" applyFont="1" applyNumberFormat="1">
      <alignment horizontal="center" shrinkToFit="0" vertical="center" wrapText="1"/>
    </xf>
    <xf borderId="44" fillId="8" fontId="4" numFmtId="3" xfId="0" applyAlignment="1" applyBorder="1" applyFont="1" applyNumberFormat="1">
      <alignment horizontal="center" shrinkToFit="0" vertical="center" wrapText="1"/>
    </xf>
    <xf borderId="14" fillId="8" fontId="4" numFmtId="0" xfId="0" applyAlignment="1" applyBorder="1" applyFont="1">
      <alignment horizontal="center" shrinkToFit="0" textRotation="90" vertical="center" wrapText="1"/>
    </xf>
    <xf borderId="15" fillId="8" fontId="4" numFmtId="0" xfId="0" applyAlignment="1" applyBorder="1" applyFont="1">
      <alignment horizontal="center" shrinkToFit="0" vertical="center" wrapText="1"/>
    </xf>
    <xf borderId="16" fillId="8" fontId="6" numFmtId="0" xfId="0" applyAlignment="1" applyBorder="1" applyFont="1">
      <alignment horizontal="center" shrinkToFit="0" wrapText="1"/>
    </xf>
    <xf borderId="16" fillId="8" fontId="4" numFmtId="0" xfId="0" applyAlignment="1" applyBorder="1" applyFont="1">
      <alignment horizontal="center" shrinkToFit="0" vertical="center" wrapText="1"/>
    </xf>
    <xf borderId="16" fillId="8" fontId="4" numFmtId="3" xfId="0" applyAlignment="1" applyBorder="1" applyFont="1" applyNumberFormat="1">
      <alignment horizontal="center" shrinkToFit="0" wrapText="1"/>
    </xf>
    <xf borderId="17" fillId="8" fontId="4" numFmtId="0" xfId="0" applyAlignment="1" applyBorder="1" applyFont="1">
      <alignment horizontal="center" shrinkToFit="0" wrapText="1"/>
    </xf>
    <xf borderId="25" fillId="0" fontId="5" numFmtId="0" xfId="0" applyAlignment="1" applyBorder="1" applyFont="1">
      <alignment horizontal="center" shrinkToFit="0" wrapText="1"/>
    </xf>
    <xf borderId="26" fillId="8" fontId="4" numFmtId="3" xfId="0" applyAlignment="1" applyBorder="1" applyFont="1" applyNumberFormat="1">
      <alignment horizontal="center" shrinkToFit="0" vertical="center" wrapText="1"/>
    </xf>
    <xf borderId="27" fillId="8" fontId="4" numFmtId="3" xfId="0" applyAlignment="1" applyBorder="1" applyFont="1" applyNumberFormat="1">
      <alignment horizontal="center" shrinkToFit="0" vertical="center" wrapText="1"/>
    </xf>
    <xf borderId="21" fillId="0" fontId="10" numFmtId="3" xfId="0" applyAlignment="1" applyBorder="1" applyFont="1" applyNumberFormat="1">
      <alignment vertical="center"/>
    </xf>
    <xf borderId="22" fillId="0" fontId="10" numFmtId="0" xfId="0" applyAlignment="1" applyBorder="1" applyFont="1">
      <alignment horizontal="right" shrinkToFit="0" vertical="center" wrapText="1"/>
    </xf>
    <xf borderId="45" fillId="0" fontId="12" numFmtId="0" xfId="0" applyAlignment="1" applyBorder="1" applyFont="1">
      <alignment horizontal="center" shrinkToFit="0" vertical="center" wrapText="1"/>
    </xf>
    <xf borderId="40" fillId="0" fontId="10" numFmtId="3" xfId="0" applyAlignment="1" applyBorder="1" applyFont="1" applyNumberFormat="1">
      <alignment vertical="center"/>
    </xf>
    <xf borderId="41" fillId="0" fontId="10" numFmtId="0" xfId="0" applyAlignment="1" applyBorder="1" applyFont="1">
      <alignment horizontal="right" shrinkToFit="0" vertical="center" wrapText="1"/>
    </xf>
    <xf borderId="46" fillId="0" fontId="12" numFmtId="0" xfId="0" applyAlignment="1" applyBorder="1" applyFont="1">
      <alignment horizontal="center" shrinkToFit="0" vertical="center" wrapText="1"/>
    </xf>
    <xf borderId="0" fillId="0" fontId="14" numFmtId="0" xfId="0" applyFont="1"/>
    <xf borderId="28" fillId="9" fontId="8" numFmtId="0" xfId="0" applyAlignment="1" applyBorder="1" applyFill="1" applyFont="1">
      <alignment horizontal="left" shrinkToFit="0" vertical="center" wrapText="1"/>
    </xf>
    <xf borderId="29" fillId="9" fontId="6" numFmtId="0" xfId="0" applyAlignment="1" applyBorder="1" applyFont="1">
      <alignment horizontal="left" shrinkToFit="0" vertical="center" wrapText="1"/>
    </xf>
    <xf borderId="47" fillId="0" fontId="12" numFmtId="0" xfId="0" applyAlignment="1" applyBorder="1" applyFont="1">
      <alignment horizontal="center" shrinkToFit="0" vertical="center" wrapText="1"/>
    </xf>
    <xf borderId="34" fillId="0" fontId="9" numFmtId="0" xfId="0" applyAlignment="1" applyBorder="1" applyFont="1">
      <alignment shrinkToFit="0" vertical="center" wrapText="1"/>
    </xf>
    <xf borderId="8" fillId="0" fontId="8" numFmtId="0" xfId="0" applyAlignment="1" applyBorder="1" applyFont="1">
      <alignment horizontal="left" shrinkToFit="0" vertical="center" wrapText="1"/>
    </xf>
    <xf borderId="0" fillId="0" fontId="10" numFmtId="0" xfId="0" applyAlignment="1" applyFont="1">
      <alignment horizontal="left" shrinkToFit="0" wrapText="1"/>
    </xf>
    <xf borderId="18" fillId="0" fontId="3" numFmtId="0" xfId="0" applyBorder="1" applyFont="1"/>
    <xf borderId="26" fillId="0" fontId="10" numFmtId="3" xfId="0" applyAlignment="1" applyBorder="1" applyFont="1" applyNumberFormat="1">
      <alignment vertical="center"/>
    </xf>
    <xf borderId="26" fillId="10" fontId="10" numFmtId="0" xfId="0" applyAlignment="1" applyBorder="1" applyFill="1" applyFont="1">
      <alignment horizontal="center" shrinkToFit="0" vertical="center" wrapText="1"/>
    </xf>
    <xf borderId="32" fillId="9" fontId="13" numFmtId="0" xfId="0" applyAlignment="1" applyBorder="1" applyFont="1">
      <alignment shrinkToFit="0" vertical="center" wrapText="1"/>
    </xf>
    <xf borderId="33" fillId="9" fontId="10" numFmtId="0" xfId="0" applyAlignment="1" applyBorder="1" applyFont="1">
      <alignment horizontal="center" shrinkToFit="0" vertical="center" wrapText="1"/>
    </xf>
    <xf borderId="33" fillId="9" fontId="11" numFmtId="0" xfId="0" applyAlignment="1" applyBorder="1" applyFont="1">
      <alignment horizontal="center" shrinkToFit="0" vertical="center" wrapText="1"/>
    </xf>
    <xf borderId="33" fillId="9" fontId="10" numFmtId="3" xfId="0" applyAlignment="1" applyBorder="1" applyFont="1" applyNumberFormat="1">
      <alignment vertical="center"/>
    </xf>
    <xf borderId="34" fillId="9" fontId="10" numFmtId="0" xfId="0" applyAlignment="1" applyBorder="1" applyFont="1">
      <alignment horizontal="right" shrinkToFit="0" vertical="center" wrapText="1"/>
    </xf>
    <xf borderId="28" fillId="6" fontId="8" numFmtId="0" xfId="0" applyAlignment="1" applyBorder="1" applyFont="1">
      <alignment horizontal="left" shrinkToFit="0" vertical="center" wrapText="1"/>
    </xf>
    <xf borderId="29" fillId="6" fontId="6" numFmtId="0" xfId="0" applyAlignment="1" applyBorder="1" applyFont="1">
      <alignment horizontal="left" shrinkToFit="0" vertical="center" wrapText="1"/>
    </xf>
    <xf borderId="48" fillId="6" fontId="12" numFmtId="0" xfId="0" applyAlignment="1" applyBorder="1" applyFont="1">
      <alignment horizontal="center" shrinkToFit="0" vertical="center" wrapText="1"/>
    </xf>
    <xf borderId="19" fillId="9" fontId="8" numFmtId="0" xfId="0" applyAlignment="1" applyBorder="1" applyFont="1">
      <alignment horizontal="left" shrinkToFit="0" vertical="center" wrapText="1"/>
    </xf>
    <xf borderId="5" fillId="9" fontId="13" numFmtId="0" xfId="0" applyAlignment="1" applyBorder="1" applyFont="1">
      <alignment shrinkToFit="0" vertical="center" wrapText="1"/>
    </xf>
    <xf borderId="21" fillId="9" fontId="10" numFmtId="0" xfId="0" applyAlignment="1" applyBorder="1" applyFont="1">
      <alignment horizontal="center" shrinkToFit="0" vertical="center" wrapText="1"/>
    </xf>
    <xf borderId="21" fillId="9" fontId="11" numFmtId="0" xfId="0" applyAlignment="1" applyBorder="1" applyFont="1">
      <alignment horizontal="center" shrinkToFit="0" vertical="center" wrapText="1"/>
    </xf>
    <xf borderId="21" fillId="9" fontId="10" numFmtId="3" xfId="0" applyAlignment="1" applyBorder="1" applyFont="1" applyNumberFormat="1">
      <alignment vertical="center"/>
    </xf>
    <xf borderId="22" fillId="9" fontId="10" numFmtId="0" xfId="0" applyAlignment="1" applyBorder="1" applyFont="1">
      <alignment horizontal="right" shrinkToFit="0" vertical="center" wrapText="1"/>
    </xf>
    <xf borderId="49" fillId="11" fontId="12" numFmtId="0" xfId="0" applyAlignment="1" applyBorder="1" applyFill="1" applyFont="1">
      <alignment horizontal="center" shrinkToFit="0" vertical="center" wrapText="1"/>
    </xf>
    <xf borderId="22" fillId="0" fontId="9" numFmtId="0" xfId="0" applyAlignment="1" applyBorder="1" applyFont="1">
      <alignment shrinkToFit="0" vertical="center" wrapText="1"/>
    </xf>
    <xf borderId="25" fillId="9" fontId="13" numFmtId="0" xfId="0" applyAlignment="1" applyBorder="1" applyFont="1">
      <alignment shrinkToFit="0" vertical="center" wrapText="1"/>
    </xf>
    <xf borderId="26" fillId="9" fontId="10" numFmtId="0" xfId="0" applyAlignment="1" applyBorder="1" applyFont="1">
      <alignment horizontal="center" shrinkToFit="0" vertical="center" wrapText="1"/>
    </xf>
    <xf borderId="26" fillId="9" fontId="11" numFmtId="0" xfId="0" applyAlignment="1" applyBorder="1" applyFont="1">
      <alignment horizontal="center" shrinkToFit="0" vertical="center" wrapText="1"/>
    </xf>
    <xf borderId="26" fillId="9" fontId="11" numFmtId="0" xfId="0" applyAlignment="1" applyBorder="1" applyFont="1">
      <alignment horizontal="right" shrinkToFit="0" vertical="center" wrapText="1"/>
    </xf>
    <xf borderId="26" fillId="9" fontId="11" numFmtId="3" xfId="0" applyAlignment="1" applyBorder="1" applyFont="1" applyNumberFormat="1">
      <alignment horizontal="right" shrinkToFit="0" vertical="center" wrapText="1"/>
    </xf>
    <xf borderId="27" fillId="9" fontId="10" numFmtId="0" xfId="0" applyAlignment="1" applyBorder="1" applyFont="1">
      <alignment horizontal="right" shrinkToFit="0" vertical="center" wrapText="1"/>
    </xf>
    <xf borderId="27" fillId="0" fontId="9" numFmtId="0" xfId="0" applyAlignment="1" applyBorder="1" applyFont="1">
      <alignment shrinkToFit="0" vertical="center" wrapText="1"/>
    </xf>
    <xf borderId="21" fillId="0" fontId="10" numFmtId="3" xfId="0" applyAlignment="1" applyBorder="1" applyFont="1" applyNumberFormat="1">
      <alignment horizontal="center" vertical="center"/>
    </xf>
    <xf borderId="42" fillId="0" fontId="13" numFmtId="0" xfId="0" applyAlignment="1" applyBorder="1" applyFont="1">
      <alignment shrinkToFit="0" vertical="center" wrapText="1"/>
    </xf>
    <xf borderId="43" fillId="0" fontId="10" numFmtId="0" xfId="0" applyAlignment="1" applyBorder="1" applyFont="1">
      <alignment horizontal="center" shrinkToFit="0" vertical="center" wrapText="1"/>
    </xf>
    <xf borderId="43" fillId="0" fontId="11" numFmtId="0" xfId="0" applyAlignment="1" applyBorder="1" applyFont="1">
      <alignment horizontal="center" shrinkToFit="0" vertical="center" wrapText="1"/>
    </xf>
    <xf borderId="43" fillId="0" fontId="10" numFmtId="3" xfId="0" applyAlignment="1" applyBorder="1" applyFont="1" applyNumberFormat="1">
      <alignment horizontal="right" vertical="center"/>
    </xf>
    <xf borderId="43" fillId="0" fontId="10" numFmtId="3" xfId="0" applyAlignment="1" applyBorder="1" applyFont="1" applyNumberFormat="1">
      <alignment horizontal="center" vertical="center"/>
    </xf>
    <xf borderId="44" fillId="0" fontId="10" numFmtId="0" xfId="0" applyAlignment="1" applyBorder="1" applyFont="1">
      <alignment horizontal="right" shrinkToFit="0" vertical="center" wrapText="1"/>
    </xf>
    <xf borderId="50" fillId="5" fontId="12" numFmtId="0" xfId="0" applyAlignment="1" applyBorder="1" applyFont="1">
      <alignment horizontal="center" shrinkToFit="0" vertical="center" wrapText="1"/>
    </xf>
    <xf borderId="44" fillId="0" fontId="9" numFmtId="0" xfId="0" applyAlignment="1" applyBorder="1" applyFont="1">
      <alignment shrinkToFit="0" vertical="center" wrapText="1"/>
    </xf>
    <xf borderId="43" fillId="4" fontId="10" numFmtId="0" xfId="0" applyAlignment="1" applyBorder="1" applyFont="1">
      <alignment horizontal="center" shrinkToFit="0" vertical="center" wrapText="1"/>
    </xf>
    <xf borderId="26" fillId="0" fontId="10" numFmtId="3" xfId="0" applyAlignment="1" applyBorder="1" applyFont="1" applyNumberFormat="1">
      <alignment horizontal="center" vertical="center"/>
    </xf>
    <xf borderId="27" fillId="0" fontId="10" numFmtId="0" xfId="0" applyAlignment="1" applyBorder="1" applyFont="1">
      <alignment horizontal="right" shrinkToFit="0" vertical="center" wrapText="1"/>
    </xf>
    <xf borderId="33" fillId="9" fontId="10" numFmtId="3" xfId="0" applyAlignment="1" applyBorder="1" applyFont="1" applyNumberFormat="1">
      <alignment horizontal="right" vertical="center"/>
    </xf>
    <xf borderId="48" fillId="5" fontId="12" numFmtId="0" xfId="0" applyAlignment="1" applyBorder="1" applyFont="1">
      <alignment horizontal="center" vertical="center"/>
    </xf>
    <xf borderId="49" fillId="5" fontId="12" numFmtId="0" xfId="0" applyAlignment="1" applyBorder="1" applyFont="1">
      <alignment horizontal="center" shrinkToFit="0" vertical="center" wrapText="1"/>
    </xf>
    <xf borderId="51" fillId="0" fontId="10" numFmtId="0" xfId="0" applyAlignment="1" applyBorder="1" applyFont="1">
      <alignment horizontal="center" shrinkToFit="0" vertical="center" wrapText="1"/>
    </xf>
    <xf borderId="51" fillId="0" fontId="10" numFmtId="3" xfId="0" applyAlignment="1" applyBorder="1" applyFont="1" applyNumberFormat="1">
      <alignment horizontal="right" vertical="center"/>
    </xf>
    <xf borderId="52" fillId="0" fontId="10" numFmtId="0" xfId="0" applyAlignment="1" applyBorder="1" applyFont="1">
      <alignment horizontal="right" shrinkToFit="0" vertical="center" wrapText="1"/>
    </xf>
    <xf borderId="53" fillId="0" fontId="12" numFmtId="0" xfId="0" applyAlignment="1" applyBorder="1" applyFont="1">
      <alignment horizontal="center" shrinkToFit="0" vertical="center" wrapText="1"/>
    </xf>
    <xf borderId="54" fillId="5" fontId="12" numFmtId="0" xfId="0" applyAlignment="1" applyBorder="1" applyFont="1">
      <alignment horizontal="center" shrinkToFit="0" vertical="center" wrapText="1"/>
    </xf>
    <xf borderId="43" fillId="10" fontId="10" numFmtId="0" xfId="0" applyAlignment="1" applyBorder="1" applyFont="1">
      <alignment horizontal="center" shrinkToFit="0" vertical="center" wrapText="1"/>
    </xf>
    <xf borderId="55" fillId="0" fontId="13" numFmtId="0" xfId="0" applyAlignment="1" applyBorder="1" applyFont="1">
      <alignment shrinkToFit="0" vertical="center" wrapText="1"/>
    </xf>
    <xf borderId="56" fillId="0" fontId="11" numFmtId="0" xfId="0" applyAlignment="1" applyBorder="1" applyFont="1">
      <alignment horizontal="center" shrinkToFit="0" vertical="center" wrapText="1"/>
    </xf>
    <xf borderId="56" fillId="0" fontId="10" numFmtId="3" xfId="0" applyAlignment="1" applyBorder="1" applyFont="1" applyNumberFormat="1">
      <alignment horizontal="right" vertical="center"/>
    </xf>
    <xf borderId="50" fillId="11" fontId="12" numFmtId="0" xfId="0" applyAlignment="1" applyBorder="1" applyFont="1">
      <alignment horizontal="center" shrinkToFit="0" vertical="center" wrapText="1"/>
    </xf>
    <xf borderId="56" fillId="0" fontId="10" numFmtId="0" xfId="0" applyAlignment="1" applyBorder="1" applyFont="1">
      <alignment horizontal="center" shrinkToFit="0" vertical="center" wrapText="1"/>
    </xf>
    <xf borderId="57" fillId="0" fontId="10" numFmtId="0" xfId="0" applyAlignment="1" applyBorder="1" applyFont="1">
      <alignment horizontal="right" shrinkToFit="0" vertical="center" wrapText="1"/>
    </xf>
    <xf borderId="20" fillId="9" fontId="13" numFmtId="0" xfId="0" applyAlignment="1" applyBorder="1" applyFont="1">
      <alignment shrinkToFit="0" vertical="center" wrapText="1"/>
    </xf>
    <xf borderId="21" fillId="9" fontId="10" numFmtId="3" xfId="0" applyAlignment="1" applyBorder="1" applyFont="1" applyNumberFormat="1">
      <alignment horizontal="right" vertical="center"/>
    </xf>
    <xf borderId="21" fillId="9" fontId="10" numFmtId="3" xfId="0" applyAlignment="1" applyBorder="1" applyFont="1" applyNumberFormat="1">
      <alignment horizontal="center" vertical="center"/>
    </xf>
    <xf borderId="26" fillId="9" fontId="10" numFmtId="3" xfId="0" applyAlignment="1" applyBorder="1" applyFont="1" applyNumberFormat="1">
      <alignment vertical="center"/>
    </xf>
    <xf borderId="26" fillId="9" fontId="10" numFmtId="3" xfId="0" applyAlignment="1" applyBorder="1" applyFont="1" applyNumberFormat="1">
      <alignment horizontal="center" vertical="center"/>
    </xf>
    <xf borderId="29" fillId="0" fontId="8" numFmtId="0" xfId="0" applyAlignment="1" applyBorder="1" applyFont="1">
      <alignment horizontal="left" shrinkToFit="0" vertical="center" wrapText="1"/>
    </xf>
    <xf borderId="1" fillId="6" fontId="6" numFmtId="0" xfId="0" applyAlignment="1" applyBorder="1" applyFont="1">
      <alignment horizontal="left" shrinkToFit="0" vertical="center" wrapText="1"/>
    </xf>
    <xf borderId="58" fillId="0" fontId="12" numFmtId="0" xfId="0" applyAlignment="1" applyBorder="1" applyFont="1">
      <alignment horizontal="center" shrinkToFit="0" vertical="center" wrapText="1"/>
    </xf>
    <xf borderId="6" fillId="6" fontId="10" numFmtId="0" xfId="0" applyAlignment="1" applyBorder="1" applyFont="1">
      <alignment horizontal="center" shrinkToFit="0" vertical="center" wrapText="1"/>
    </xf>
    <xf borderId="33" fillId="0" fontId="10" numFmtId="0" xfId="0" applyAlignment="1" applyBorder="1" applyFont="1">
      <alignment horizontal="center" shrinkToFit="0" vertical="center" wrapText="1"/>
    </xf>
    <xf borderId="28" fillId="9" fontId="8" numFmtId="0" xfId="0" applyAlignment="1" applyBorder="1" applyFont="1">
      <alignment shrinkToFit="0" vertical="center" wrapText="1"/>
    </xf>
    <xf borderId="32" fillId="0" fontId="9" numFmtId="0" xfId="0" applyAlignment="1" applyBorder="1" applyFont="1">
      <alignment shrinkToFit="0" vertical="center" wrapText="1"/>
    </xf>
    <xf borderId="33" fillId="0" fontId="11" numFmtId="0" xfId="0" applyAlignment="1" applyBorder="1" applyFont="1">
      <alignment horizontal="center" shrinkToFit="0" vertical="center" wrapText="1"/>
    </xf>
    <xf borderId="33" fillId="0" fontId="10" numFmtId="3" xfId="0" applyAlignment="1" applyBorder="1" applyFont="1" applyNumberFormat="1">
      <alignment horizontal="right" vertical="center"/>
    </xf>
    <xf borderId="34" fillId="0" fontId="10" numFmtId="0" xfId="0" applyAlignment="1" applyBorder="1" applyFont="1">
      <alignment horizontal="right" shrinkToFit="0" vertical="center" wrapText="1"/>
    </xf>
    <xf borderId="32" fillId="5" fontId="12" numFmtId="0" xfId="0" applyAlignment="1" applyBorder="1" applyFont="1">
      <alignment horizontal="center" shrinkToFit="0" vertical="center" wrapText="1"/>
    </xf>
    <xf borderId="0" fillId="0" fontId="15" numFmtId="0" xfId="0" applyAlignment="1" applyFont="1">
      <alignment horizontal="center" shrinkToFit="0" wrapText="1"/>
    </xf>
    <xf borderId="0" fillId="0" fontId="18" numFmtId="0" xfId="0" applyFont="1"/>
    <xf borderId="0" fillId="0" fontId="19" numFmtId="0" xfId="0" applyAlignment="1" applyFont="1">
      <alignment horizontal="left" shrinkToFit="0" wrapText="1"/>
    </xf>
    <xf borderId="0" fillId="0" fontId="18" numFmtId="0" xfId="0" applyAlignment="1" applyFont="1">
      <alignment horizontal="left" shrinkToFit="0" wrapText="1"/>
    </xf>
    <xf borderId="1" fillId="12" fontId="2" numFmtId="164" xfId="0" applyAlignment="1" applyBorder="1" applyFill="1" applyFont="1" applyNumberFormat="1">
      <alignment horizontal="center" shrinkToFit="0" wrapText="1"/>
    </xf>
    <xf borderId="4" fillId="12" fontId="4" numFmtId="0" xfId="0" applyAlignment="1" applyBorder="1" applyFont="1">
      <alignment horizontal="center" shrinkToFit="0" textRotation="90" vertical="center" wrapText="1"/>
    </xf>
    <xf borderId="5" fillId="12" fontId="20" numFmtId="0" xfId="0" applyAlignment="1" applyBorder="1" applyFont="1">
      <alignment horizontal="center" shrinkToFit="0" vertical="center" wrapText="1"/>
    </xf>
    <xf borderId="6" fillId="12" fontId="20" numFmtId="0" xfId="0" applyAlignment="1" applyBorder="1" applyFont="1">
      <alignment horizontal="center" shrinkToFit="0" wrapText="1"/>
    </xf>
    <xf borderId="6" fillId="12" fontId="20" numFmtId="0" xfId="0" applyAlignment="1" applyBorder="1" applyFont="1">
      <alignment horizontal="center" shrinkToFit="0" vertical="center" wrapText="1"/>
    </xf>
    <xf borderId="6" fillId="12" fontId="4" numFmtId="3" xfId="0" applyAlignment="1" applyBorder="1" applyFont="1" applyNumberFormat="1">
      <alignment horizontal="center" shrinkToFit="0" wrapText="1"/>
    </xf>
    <xf borderId="7" fillId="12" fontId="20" numFmtId="0" xfId="0" applyAlignment="1" applyBorder="1" applyFont="1">
      <alignment horizontal="center" shrinkToFit="0" wrapText="1"/>
    </xf>
    <xf borderId="21" fillId="12" fontId="20" numFmtId="0" xfId="0" applyAlignment="1" applyBorder="1" applyFont="1">
      <alignment horizontal="center" shrinkToFit="0" vertical="center" wrapText="1"/>
    </xf>
    <xf borderId="22" fillId="12" fontId="20" numFmtId="0" xfId="0" applyAlignment="1" applyBorder="1" applyFont="1">
      <alignment horizontal="center" shrinkToFit="0" vertical="center" wrapText="1"/>
    </xf>
    <xf borderId="9" fillId="12" fontId="4" numFmtId="0" xfId="0" applyAlignment="1" applyBorder="1" applyFont="1">
      <alignment horizontal="center" shrinkToFit="0" textRotation="90" vertical="center" wrapText="1"/>
    </xf>
    <xf borderId="10" fillId="12" fontId="20" numFmtId="0" xfId="0" applyAlignment="1" applyBorder="1" applyFont="1">
      <alignment horizontal="center" shrinkToFit="0" vertical="center" wrapText="1"/>
    </xf>
    <xf borderId="11" fillId="12" fontId="6" numFmtId="0" xfId="0" applyAlignment="1" applyBorder="1" applyFont="1">
      <alignment horizontal="center" shrinkToFit="0" wrapText="1"/>
    </xf>
    <xf borderId="11" fillId="12" fontId="20" numFmtId="0" xfId="0" applyAlignment="1" applyBorder="1" applyFont="1">
      <alignment horizontal="center" shrinkToFit="0" vertical="center" wrapText="1"/>
    </xf>
    <xf borderId="11" fillId="12" fontId="4" numFmtId="3" xfId="0" applyAlignment="1" applyBorder="1" applyFont="1" applyNumberFormat="1">
      <alignment horizontal="center" shrinkToFit="0" wrapText="1"/>
    </xf>
    <xf borderId="12" fillId="12" fontId="20" numFmtId="0" xfId="0" applyAlignment="1" applyBorder="1" applyFont="1">
      <alignment horizontal="center" shrinkToFit="0" wrapText="1"/>
    </xf>
    <xf borderId="43" fillId="12" fontId="20" numFmtId="0" xfId="0" applyAlignment="1" applyBorder="1" applyFont="1">
      <alignment horizontal="center" shrinkToFit="0" vertical="center" wrapText="1"/>
    </xf>
    <xf borderId="44" fillId="12" fontId="20" numFmtId="0" xfId="0" applyAlignment="1" applyBorder="1" applyFont="1">
      <alignment horizontal="center" shrinkToFit="0" vertical="center" wrapText="1"/>
    </xf>
    <xf borderId="14" fillId="12" fontId="4" numFmtId="0" xfId="0" applyAlignment="1" applyBorder="1" applyFont="1">
      <alignment horizontal="center" shrinkToFit="0" textRotation="90" vertical="center" wrapText="1"/>
    </xf>
    <xf borderId="15" fillId="12" fontId="20" numFmtId="0" xfId="0" applyAlignment="1" applyBorder="1" applyFont="1">
      <alignment horizontal="center" shrinkToFit="0" vertical="center" wrapText="1"/>
    </xf>
    <xf borderId="16" fillId="12" fontId="6" numFmtId="0" xfId="0" applyAlignment="1" applyBorder="1" applyFont="1">
      <alignment horizontal="center" shrinkToFit="0" wrapText="1"/>
    </xf>
    <xf borderId="16" fillId="12" fontId="20" numFmtId="0" xfId="0" applyAlignment="1" applyBorder="1" applyFont="1">
      <alignment horizontal="center" shrinkToFit="0" vertical="center" wrapText="1"/>
    </xf>
    <xf borderId="16" fillId="12" fontId="4" numFmtId="3" xfId="0" applyAlignment="1" applyBorder="1" applyFont="1" applyNumberFormat="1">
      <alignment horizontal="center" shrinkToFit="0" wrapText="1"/>
    </xf>
    <xf borderId="17" fillId="12" fontId="20" numFmtId="0" xfId="0" applyAlignment="1" applyBorder="1" applyFont="1">
      <alignment horizontal="center" shrinkToFit="0" wrapText="1"/>
    </xf>
    <xf borderId="26" fillId="12" fontId="20" numFmtId="0" xfId="0" applyAlignment="1" applyBorder="1" applyFont="1">
      <alignment horizontal="center" shrinkToFit="0" vertical="center" wrapText="1"/>
    </xf>
    <xf borderId="27" fillId="12" fontId="20" numFmtId="0" xfId="0" applyAlignment="1" applyBorder="1" applyFont="1">
      <alignment horizontal="center" shrinkToFit="0" vertical="center" wrapText="1"/>
    </xf>
    <xf borderId="20" fillId="5" fontId="10" numFmtId="0" xfId="0" applyAlignment="1" applyBorder="1" applyFont="1">
      <alignment horizontal="center" vertical="center"/>
    </xf>
    <xf borderId="42" fillId="5"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5" fontId="10" numFmtId="0" xfId="0" applyAlignment="1" applyBorder="1" applyFont="1">
      <alignment horizontal="center" vertical="center"/>
    </xf>
    <xf borderId="56" fillId="0" fontId="10" numFmtId="3" xfId="0" applyAlignment="1" applyBorder="1" applyFont="1" applyNumberFormat="1">
      <alignment vertical="center"/>
    </xf>
    <xf borderId="43" fillId="0" fontId="10" numFmtId="3" xfId="0" applyAlignment="1" applyBorder="1" applyFont="1" applyNumberFormat="1">
      <alignment vertical="center"/>
    </xf>
    <xf borderId="44" fillId="0" fontId="10" numFmtId="0" xfId="0" applyAlignment="1" applyBorder="1" applyFont="1">
      <alignment horizontal="right" vertical="center"/>
    </xf>
    <xf borderId="42" fillId="0" fontId="12" numFmtId="0" xfId="0" applyAlignment="1" applyBorder="1" applyFont="1">
      <alignment horizontal="center" vertical="center"/>
    </xf>
    <xf borderId="57" fillId="0" fontId="10" numFmtId="0" xfId="0" applyAlignment="1" applyBorder="1" applyFont="1">
      <alignment horizontal="right" vertical="center"/>
    </xf>
    <xf borderId="42" fillId="11" fontId="10" numFmtId="0" xfId="0" applyAlignment="1" applyBorder="1" applyFont="1">
      <alignment horizontal="center" shrinkToFit="0" vertical="center" wrapText="1"/>
    </xf>
    <xf borderId="25" fillId="5" fontId="10" numFmtId="0" xfId="0" applyAlignment="1" applyBorder="1" applyFont="1">
      <alignment horizontal="center" shrinkToFit="0" vertical="center" wrapText="1"/>
    </xf>
    <xf borderId="59" fillId="0" fontId="13" numFmtId="0" xfId="0" applyAlignment="1" applyBorder="1" applyFont="1">
      <alignment shrinkToFit="0" vertical="center" wrapText="1"/>
    </xf>
    <xf borderId="38" fillId="0" fontId="10" numFmtId="0" xfId="0" applyAlignment="1" applyBorder="1" applyFont="1">
      <alignment horizontal="center" shrinkToFit="0" vertical="center" wrapText="1"/>
    </xf>
    <xf borderId="38" fillId="0" fontId="11" numFmtId="0" xfId="0" applyAlignment="1" applyBorder="1" applyFont="1">
      <alignment horizontal="center" shrinkToFit="0" vertical="center" wrapText="1"/>
    </xf>
    <xf borderId="38" fillId="0" fontId="10" numFmtId="3" xfId="0" applyAlignment="1" applyBorder="1" applyFont="1" applyNumberFormat="1">
      <alignment vertical="center"/>
    </xf>
    <xf borderId="39" fillId="0" fontId="10" numFmtId="0" xfId="0" applyAlignment="1" applyBorder="1" applyFont="1">
      <alignment horizontal="right" shrinkToFit="0" vertical="center" wrapText="1"/>
    </xf>
    <xf borderId="20" fillId="0" fontId="10" numFmtId="0" xfId="0" applyAlignment="1" applyBorder="1" applyFont="1">
      <alignment horizontal="center" shrinkToFit="0" vertical="center" wrapText="1"/>
    </xf>
    <xf borderId="42" fillId="11" fontId="12" numFmtId="0" xfId="0" applyAlignment="1" applyBorder="1" applyFont="1">
      <alignment horizontal="center" vertical="center"/>
    </xf>
    <xf borderId="42" fillId="5" fontId="12" numFmtId="0" xfId="0" applyAlignment="1" applyBorder="1" applyFont="1">
      <alignment horizontal="center" vertical="center"/>
    </xf>
    <xf borderId="60" fillId="4" fontId="8" numFmtId="0" xfId="0" applyAlignment="1" applyBorder="1" applyFont="1">
      <alignment horizontal="left" shrinkToFit="0" vertical="center" wrapText="1"/>
    </xf>
    <xf borderId="20" fillId="4" fontId="9" numFmtId="0" xfId="0" applyAlignment="1" applyBorder="1" applyFont="1">
      <alignment shrinkToFit="0" vertical="center" wrapText="1"/>
    </xf>
    <xf borderId="21" fillId="4" fontId="11" numFmtId="0" xfId="0" applyAlignment="1" applyBorder="1" applyFont="1">
      <alignment horizontal="center" shrinkToFit="0" vertical="center" wrapText="1"/>
    </xf>
    <xf borderId="21" fillId="4" fontId="10" numFmtId="3" xfId="0" applyAlignment="1" applyBorder="1" applyFont="1" applyNumberFormat="1">
      <alignment horizontal="right" vertical="center"/>
    </xf>
    <xf borderId="21" fillId="4" fontId="10" numFmtId="3" xfId="0" applyAlignment="1" applyBorder="1" applyFont="1" applyNumberFormat="1">
      <alignment vertical="center"/>
    </xf>
    <xf borderId="22" fillId="4" fontId="10" numFmtId="0" xfId="0" applyAlignment="1" applyBorder="1" applyFont="1">
      <alignment horizontal="right" vertical="center"/>
    </xf>
    <xf borderId="21" fillId="10" fontId="10" numFmtId="0" xfId="0" applyAlignment="1" applyBorder="1" applyFont="1">
      <alignment horizontal="center" shrinkToFit="0" vertical="center" wrapText="1"/>
    </xf>
    <xf borderId="61" fillId="0" fontId="3" numFmtId="0" xfId="0" applyBorder="1" applyFont="1"/>
    <xf borderId="25" fillId="4" fontId="13" numFmtId="0" xfId="0" applyAlignment="1" applyBorder="1" applyFont="1">
      <alignment shrinkToFit="0" vertical="center" wrapText="1"/>
    </xf>
    <xf borderId="26" fillId="4" fontId="11" numFmtId="0" xfId="0" applyAlignment="1" applyBorder="1" applyFont="1">
      <alignment horizontal="center" shrinkToFit="0" vertical="center" wrapText="1"/>
    </xf>
    <xf borderId="26" fillId="4" fontId="10" numFmtId="3" xfId="0" applyAlignment="1" applyBorder="1" applyFont="1" applyNumberFormat="1">
      <alignment vertical="center"/>
    </xf>
    <xf borderId="27" fillId="4" fontId="10" numFmtId="0" xfId="0" applyAlignment="1" applyBorder="1" applyFont="1">
      <alignment horizontal="right" vertical="center"/>
    </xf>
    <xf borderId="25" fillId="5" fontId="12" numFmtId="0" xfId="0" applyAlignment="1" applyBorder="1" applyFont="1">
      <alignment horizontal="center" shrinkToFit="0" vertical="center" wrapText="1"/>
    </xf>
    <xf borderId="19" fillId="0" fontId="7" numFmtId="164" xfId="0" applyAlignment="1" applyBorder="1" applyFont="1" applyNumberFormat="1">
      <alignment horizontal="center" shrinkToFit="0" textRotation="90" vertical="center" wrapText="1"/>
    </xf>
    <xf borderId="13" fillId="0" fontId="3" numFmtId="0" xfId="0" applyBorder="1" applyFont="1"/>
    <xf borderId="62" fillId="0" fontId="13" numFmtId="0" xfId="0" applyAlignment="1" applyBorder="1" applyFont="1">
      <alignment shrinkToFit="0" vertical="center" wrapText="1"/>
    </xf>
    <xf borderId="51" fillId="0" fontId="11" numFmtId="0" xfId="0" applyAlignment="1" applyBorder="1" applyFont="1">
      <alignment horizontal="center" shrinkToFit="0" vertical="center" wrapText="1"/>
    </xf>
    <xf borderId="51" fillId="0" fontId="10" numFmtId="3" xfId="0" applyAlignment="1" applyBorder="1" applyFont="1" applyNumberFormat="1">
      <alignment vertical="center"/>
    </xf>
    <xf borderId="52" fillId="0" fontId="10" numFmtId="0" xfId="0" applyAlignment="1" applyBorder="1" applyFont="1">
      <alignment horizontal="right" vertical="center"/>
    </xf>
    <xf borderId="28" fillId="4" fontId="8" numFmtId="0" xfId="0" applyAlignment="1" applyBorder="1" applyFont="1">
      <alignment horizontal="left" shrinkToFit="0" vertical="center" wrapText="1"/>
    </xf>
    <xf borderId="29" fillId="4" fontId="6" numFmtId="0" xfId="0" applyAlignment="1" applyBorder="1" applyFont="1">
      <alignment horizontal="left" shrinkToFit="0" vertical="center" wrapText="1"/>
    </xf>
    <xf borderId="59" fillId="0" fontId="9" numFmtId="0" xfId="0" applyAlignment="1" applyBorder="1" applyFont="1">
      <alignment shrinkToFit="0" vertical="center" wrapText="1"/>
    </xf>
    <xf borderId="38" fillId="0" fontId="10" numFmtId="3" xfId="0" applyAlignment="1" applyBorder="1" applyFont="1" applyNumberFormat="1">
      <alignment horizontal="right" vertical="center"/>
    </xf>
    <xf borderId="39" fillId="0" fontId="10" numFmtId="0" xfId="0" applyAlignment="1" applyBorder="1" applyFont="1">
      <alignment horizontal="right" vertical="center"/>
    </xf>
    <xf borderId="0" fillId="0" fontId="21" numFmtId="2" xfId="0" applyAlignment="1" applyFont="1" applyNumberFormat="1">
      <alignment horizontal="left" shrinkToFit="0" wrapText="1"/>
    </xf>
    <xf borderId="55" fillId="0" fontId="9" numFmtId="0" xfId="0" applyAlignment="1" applyBorder="1" applyFont="1">
      <alignment shrinkToFit="0" vertical="center" wrapText="1"/>
    </xf>
    <xf borderId="42" fillId="0" fontId="12" numFmtId="0" xfId="0" applyAlignment="1" applyBorder="1" applyFont="1">
      <alignment horizontal="center" shrinkToFit="0" vertical="center" wrapText="1"/>
    </xf>
    <xf borderId="42" fillId="11" fontId="12" numFmtId="0" xfId="0" applyAlignment="1" applyBorder="1" applyFont="1">
      <alignment horizontal="center" shrinkToFit="0" vertical="center" wrapText="1"/>
    </xf>
    <xf borderId="25" fillId="0" fontId="9" numFmtId="0" xfId="0" applyAlignment="1" applyBorder="1" applyFont="1">
      <alignment shrinkToFit="0" vertical="center" wrapText="1"/>
    </xf>
    <xf borderId="19" fillId="4" fontId="8" numFmtId="0" xfId="0" applyAlignment="1" applyBorder="1" applyFont="1">
      <alignment horizontal="left" shrinkToFit="0" vertical="center" wrapText="1"/>
    </xf>
    <xf borderId="20" fillId="4" fontId="13" numFmtId="0" xfId="0" applyAlignment="1" applyBorder="1" applyFont="1">
      <alignment shrinkToFit="0" vertical="center" wrapText="1"/>
    </xf>
    <xf borderId="42" fillId="4" fontId="13" numFmtId="0" xfId="0" applyAlignment="1" applyBorder="1" applyFont="1">
      <alignment shrinkToFit="0" vertical="center" wrapText="1"/>
    </xf>
    <xf borderId="43" fillId="4" fontId="11" numFmtId="0" xfId="0" applyAlignment="1" applyBorder="1" applyFont="1">
      <alignment horizontal="center" shrinkToFit="0" vertical="center" wrapText="1"/>
    </xf>
    <xf borderId="43" fillId="4" fontId="10" numFmtId="3" xfId="0" applyAlignment="1" applyBorder="1" applyFont="1" applyNumberFormat="1">
      <alignment vertical="center"/>
    </xf>
    <xf borderId="44" fillId="4" fontId="10" numFmtId="0" xfId="0" applyAlignment="1" applyBorder="1" applyFont="1">
      <alignment horizontal="right" vertical="center"/>
    </xf>
    <xf borderId="26" fillId="4" fontId="10" numFmtId="3" xfId="0" applyAlignment="1" applyBorder="1" applyFont="1" applyNumberFormat="1">
      <alignment horizontal="right" vertical="center"/>
    </xf>
    <xf borderId="63" fillId="4" fontId="13" numFmtId="0" xfId="0" applyAlignment="1" applyBorder="1" applyFont="1">
      <alignment shrinkToFit="0" vertical="center" wrapText="1"/>
    </xf>
    <xf borderId="64" fillId="4" fontId="10" numFmtId="0" xfId="0" applyAlignment="1" applyBorder="1" applyFont="1">
      <alignment horizontal="center" shrinkToFit="0" vertical="center" wrapText="1"/>
    </xf>
    <xf borderId="64" fillId="4" fontId="11" numFmtId="0" xfId="0" applyAlignment="1" applyBorder="1" applyFont="1">
      <alignment horizontal="center" shrinkToFit="0" vertical="center" wrapText="1"/>
    </xf>
    <xf borderId="64" fillId="4" fontId="10" numFmtId="3" xfId="0" applyAlignment="1" applyBorder="1" applyFont="1" applyNumberFormat="1">
      <alignment vertical="center"/>
    </xf>
    <xf borderId="65" fillId="4" fontId="10" numFmtId="0" xfId="0" applyAlignment="1" applyBorder="1" applyFont="1">
      <alignment horizontal="right" vertical="center"/>
    </xf>
    <xf borderId="60" fillId="13" fontId="8" numFmtId="0" xfId="0" applyAlignment="1" applyBorder="1" applyFill="1" applyFont="1">
      <alignment horizontal="left" shrinkToFit="0" vertical="center" wrapText="1"/>
    </xf>
    <xf borderId="20" fillId="13" fontId="13" numFmtId="0" xfId="0" applyAlignment="1" applyBorder="1" applyFont="1">
      <alignment shrinkToFit="0" vertical="center" wrapText="1"/>
    </xf>
    <xf borderId="21" fillId="13" fontId="10" numFmtId="0" xfId="0" applyAlignment="1" applyBorder="1" applyFont="1">
      <alignment horizontal="center" shrinkToFit="0" vertical="center" wrapText="1"/>
    </xf>
    <xf borderId="21" fillId="13" fontId="11" numFmtId="0" xfId="0" applyAlignment="1" applyBorder="1" applyFont="1">
      <alignment horizontal="center" shrinkToFit="0" vertical="center" wrapText="1"/>
    </xf>
    <xf borderId="21" fillId="13" fontId="10" numFmtId="3" xfId="0" applyAlignment="1" applyBorder="1" applyFont="1" applyNumberFormat="1">
      <alignment horizontal="right" vertical="center"/>
    </xf>
    <xf borderId="22" fillId="13" fontId="10" numFmtId="0" xfId="0" applyAlignment="1" applyBorder="1" applyFont="1">
      <alignment horizontal="right" shrinkToFit="0" vertical="center" wrapText="1"/>
    </xf>
    <xf borderId="20" fillId="0" fontId="12" numFmtId="0" xfId="0" applyAlignment="1" applyBorder="1" applyFont="1">
      <alignment horizontal="center" shrinkToFit="0" vertical="center" wrapText="1"/>
    </xf>
    <xf borderId="66" fillId="0" fontId="3" numFmtId="0" xfId="0" applyBorder="1" applyFont="1"/>
    <xf borderId="42" fillId="13" fontId="13" numFmtId="0" xfId="0" applyAlignment="1" applyBorder="1" applyFont="1">
      <alignment shrinkToFit="0" vertical="center" wrapText="1"/>
    </xf>
    <xf borderId="43" fillId="13" fontId="10" numFmtId="0" xfId="0" applyAlignment="1" applyBorder="1" applyFont="1">
      <alignment horizontal="center" shrinkToFit="0" vertical="center" wrapText="1"/>
    </xf>
    <xf borderId="43" fillId="13" fontId="11" numFmtId="0" xfId="0" applyAlignment="1" applyBorder="1" applyFont="1">
      <alignment horizontal="center" shrinkToFit="0" vertical="center" wrapText="1"/>
    </xf>
    <xf borderId="43" fillId="13" fontId="10" numFmtId="3" xfId="0" applyAlignment="1" applyBorder="1" applyFont="1" applyNumberFormat="1">
      <alignment horizontal="right" vertical="center"/>
    </xf>
    <xf borderId="44" fillId="13" fontId="10" numFmtId="0" xfId="0" applyAlignment="1" applyBorder="1" applyFont="1">
      <alignment horizontal="right" shrinkToFit="0" vertical="center" wrapText="1"/>
    </xf>
    <xf borderId="42" fillId="5" fontId="12" numFmtId="0" xfId="0" applyAlignment="1" applyBorder="1" applyFont="1">
      <alignment horizontal="center" shrinkToFit="0" vertical="center" wrapText="1"/>
    </xf>
    <xf borderId="26" fillId="13" fontId="10" numFmtId="0" xfId="0" applyAlignment="1" applyBorder="1" applyFont="1">
      <alignment horizontal="center" shrinkToFit="0" vertical="center" wrapText="1"/>
    </xf>
    <xf borderId="26" fillId="13" fontId="11" numFmtId="0" xfId="0" applyAlignment="1" applyBorder="1" applyFont="1">
      <alignment horizontal="center" shrinkToFit="0" vertical="center" wrapText="1"/>
    </xf>
    <xf borderId="27" fillId="13" fontId="10" numFmtId="0" xfId="0" applyAlignment="1" applyBorder="1" applyFont="1">
      <alignment horizontal="right" vertical="center"/>
    </xf>
    <xf borderId="64" fillId="4" fontId="10" numFmtId="3" xfId="0" applyAlignment="1" applyBorder="1" applyFont="1" applyNumberFormat="1">
      <alignment horizontal="right" vertical="center"/>
    </xf>
    <xf borderId="43" fillId="6" fontId="10" numFmtId="3" xfId="0" applyAlignment="1" applyBorder="1" applyFont="1" applyNumberFormat="1">
      <alignment vertical="center"/>
    </xf>
    <xf borderId="44" fillId="6" fontId="10" numFmtId="0" xfId="0" applyAlignment="1" applyBorder="1" applyFont="1">
      <alignment horizontal="right" vertical="center"/>
    </xf>
    <xf borderId="25" fillId="6" fontId="12" numFmtId="0" xfId="0" applyAlignment="1" applyBorder="1" applyFont="1">
      <alignment horizontal="center" vertical="center"/>
    </xf>
    <xf borderId="67" fillId="4" fontId="8" numFmtId="0" xfId="0" applyAlignment="1" applyBorder="1" applyFont="1">
      <alignment horizontal="left" shrinkToFit="0" vertical="center" wrapText="1"/>
    </xf>
    <xf borderId="68" fillId="4" fontId="13" numFmtId="0" xfId="0" applyAlignment="1" applyBorder="1" applyFont="1">
      <alignment shrinkToFit="0" vertical="center" wrapText="1"/>
    </xf>
    <xf borderId="69" fillId="4" fontId="10" numFmtId="0" xfId="0" applyAlignment="1" applyBorder="1" applyFont="1">
      <alignment horizontal="center" shrinkToFit="0" vertical="center" wrapText="1"/>
    </xf>
    <xf borderId="69" fillId="4" fontId="11" numFmtId="0" xfId="0" applyAlignment="1" applyBorder="1" applyFont="1">
      <alignment horizontal="center" shrinkToFit="0" vertical="center" wrapText="1"/>
    </xf>
    <xf borderId="69" fillId="4" fontId="10" numFmtId="3" xfId="0" applyAlignment="1" applyBorder="1" applyFont="1" applyNumberFormat="1">
      <alignment vertical="center"/>
    </xf>
    <xf borderId="70" fillId="4" fontId="10" numFmtId="0" xfId="0" applyAlignment="1" applyBorder="1" applyFont="1">
      <alignment horizontal="right" vertical="center"/>
    </xf>
    <xf borderId="68" fillId="6" fontId="12" numFmtId="0" xfId="0" applyAlignment="1" applyBorder="1" applyFont="1">
      <alignment horizontal="center" vertical="center"/>
    </xf>
    <xf borderId="52" fillId="0" fontId="9" numFmtId="0" xfId="0" applyAlignment="1" applyBorder="1" applyFont="1">
      <alignment horizontal="left" shrinkToFit="0" vertical="center" wrapText="1"/>
    </xf>
    <xf borderId="10" fillId="4" fontId="13" numFmtId="0" xfId="0" applyAlignment="1" applyBorder="1" applyFont="1">
      <alignment shrinkToFit="0" vertical="center" wrapText="1"/>
    </xf>
    <xf borderId="11" fillId="4" fontId="10" numFmtId="0" xfId="0" applyAlignment="1" applyBorder="1" applyFont="1">
      <alignment horizontal="center" shrinkToFit="0" vertical="center" wrapText="1"/>
    </xf>
    <xf borderId="11" fillId="4" fontId="11" numFmtId="0" xfId="0" applyAlignment="1" applyBorder="1" applyFont="1">
      <alignment horizontal="center" shrinkToFit="0" vertical="center" wrapText="1"/>
    </xf>
    <xf borderId="11" fillId="4" fontId="10" numFmtId="3" xfId="0" applyAlignment="1" applyBorder="1" applyFont="1" applyNumberFormat="1">
      <alignment vertical="center"/>
    </xf>
    <xf borderId="12" fillId="4" fontId="10" numFmtId="0" xfId="0" applyAlignment="1" applyBorder="1" applyFont="1">
      <alignment horizontal="right" vertical="center"/>
    </xf>
    <xf borderId="42" fillId="6" fontId="12" numFmtId="0" xfId="0" applyAlignment="1" applyBorder="1" applyFont="1">
      <alignment horizontal="center" vertical="center"/>
    </xf>
    <xf borderId="71" fillId="0" fontId="3" numFmtId="0" xfId="0" applyBorder="1" applyFont="1"/>
    <xf borderId="55" fillId="0" fontId="12" numFmtId="0" xfId="0" applyAlignment="1" applyBorder="1" applyFont="1">
      <alignment horizontal="center" vertical="center"/>
    </xf>
    <xf borderId="57" fillId="0" fontId="9" numFmtId="0" xfId="0" applyAlignment="1" applyBorder="1" applyFont="1">
      <alignment horizontal="left" shrinkToFit="0" vertical="center" wrapText="1"/>
    </xf>
    <xf borderId="20" fillId="11" fontId="12" numFmtId="0" xfId="0" applyAlignment="1" applyBorder="1" applyFont="1">
      <alignment horizontal="center" vertical="center"/>
    </xf>
    <xf borderId="42" fillId="6" fontId="13" numFmtId="0" xfId="0" applyAlignment="1" applyBorder="1" applyFont="1">
      <alignment shrinkToFit="0" vertical="center" wrapText="1"/>
    </xf>
    <xf borderId="43" fillId="6" fontId="10" numFmtId="0" xfId="0" applyAlignment="1" applyBorder="1" applyFont="1">
      <alignment horizontal="center" shrinkToFit="0" vertical="center" wrapText="1"/>
    </xf>
    <xf borderId="43" fillId="6" fontId="11" numFmtId="0" xfId="0" applyAlignment="1" applyBorder="1" applyFont="1">
      <alignment horizontal="center" shrinkToFit="0" vertical="center" wrapText="1"/>
    </xf>
    <xf borderId="43" fillId="6" fontId="10" numFmtId="3" xfId="0" applyAlignment="1" applyBorder="1" applyFont="1" applyNumberFormat="1">
      <alignment horizontal="right" vertical="center"/>
    </xf>
    <xf borderId="72" fillId="4" fontId="8" numFmtId="164" xfId="0" applyAlignment="1" applyBorder="1" applyFont="1" applyNumberFormat="1">
      <alignment horizontal="left" shrinkToFit="0" vertical="center" wrapText="1"/>
    </xf>
    <xf borderId="32" fillId="4" fontId="13" numFmtId="0" xfId="0" applyAlignment="1" applyBorder="1" applyFont="1">
      <alignment shrinkToFit="0" vertical="center" wrapText="1"/>
    </xf>
    <xf borderId="33" fillId="4" fontId="11" numFmtId="0" xfId="0" applyAlignment="1" applyBorder="1" applyFont="1">
      <alignment horizontal="center" shrinkToFit="0" vertical="center" wrapText="1"/>
    </xf>
    <xf borderId="33" fillId="4" fontId="10" numFmtId="3" xfId="0" applyAlignment="1" applyBorder="1" applyFont="1" applyNumberFormat="1">
      <alignment horizontal="right" vertical="center"/>
    </xf>
    <xf borderId="34" fillId="4" fontId="10" numFmtId="0" xfId="0" applyAlignment="1" applyBorder="1" applyFont="1">
      <alignment horizontal="right" shrinkToFit="0" vertical="center" wrapText="1"/>
    </xf>
    <xf borderId="0" fillId="0" fontId="22" numFmtId="0" xfId="0" applyFont="1"/>
    <xf borderId="73" fillId="4" fontId="8" numFmtId="164" xfId="0" applyAlignment="1" applyBorder="1" applyFont="1" applyNumberFormat="1">
      <alignment horizontal="left" shrinkToFit="0" vertical="center" wrapText="1"/>
    </xf>
    <xf borderId="32" fillId="0" fontId="12" numFmtId="0" xfId="0" applyAlignment="1" applyBorder="1" applyFont="1">
      <alignment horizontal="center" shrinkToFit="0" vertical="center" wrapText="1"/>
    </xf>
    <xf borderId="60" fillId="4" fontId="8" numFmtId="164" xfId="0" applyAlignment="1" applyBorder="1" applyFont="1" applyNumberFormat="1">
      <alignment horizontal="left" shrinkToFit="0" vertical="center" wrapText="1"/>
    </xf>
    <xf borderId="74" fillId="0" fontId="3" numFmtId="0" xfId="0" applyBorder="1" applyFont="1"/>
    <xf borderId="25" fillId="11" fontId="12" numFmtId="0" xfId="0" applyAlignment="1" applyBorder="1" applyFont="1">
      <alignment horizontal="center" vertical="center"/>
    </xf>
    <xf borderId="62" fillId="0" fontId="12" numFmtId="0" xfId="0" applyAlignment="1" applyBorder="1" applyFont="1">
      <alignment horizontal="center" shrinkToFit="0" vertical="center" wrapText="1"/>
    </xf>
    <xf borderId="55" fillId="0" fontId="12" numFmtId="0" xfId="0" applyAlignment="1" applyBorder="1" applyFont="1">
      <alignment horizontal="center" shrinkToFit="0" vertical="center" wrapText="1"/>
    </xf>
    <xf borderId="5" fillId="4" fontId="13" numFmtId="0" xfId="0" applyAlignment="1" applyBorder="1" applyFont="1">
      <alignment shrinkToFit="0" vertical="center" wrapText="1"/>
    </xf>
    <xf borderId="6" fillId="4" fontId="10" numFmtId="0" xfId="0" applyAlignment="1" applyBorder="1" applyFont="1">
      <alignment horizontal="center" shrinkToFit="0" vertical="center" wrapText="1"/>
    </xf>
    <xf borderId="6" fillId="4" fontId="11" numFmtId="0" xfId="0" applyAlignment="1" applyBorder="1" applyFont="1">
      <alignment horizontal="center" shrinkToFit="0" vertical="center" wrapText="1"/>
    </xf>
    <xf borderId="6" fillId="4" fontId="10" numFmtId="3" xfId="0" applyAlignment="1" applyBorder="1" applyFont="1" applyNumberFormat="1">
      <alignment horizontal="right" vertical="center"/>
    </xf>
    <xf borderId="22" fillId="4" fontId="10" numFmtId="0" xfId="0" applyAlignment="1" applyBorder="1" applyFont="1">
      <alignment horizontal="right" shrinkToFit="0" vertical="center" wrapText="1"/>
    </xf>
    <xf borderId="43" fillId="4" fontId="10" numFmtId="3" xfId="0" applyAlignment="1" applyBorder="1" applyFont="1" applyNumberFormat="1">
      <alignment horizontal="right" vertical="center"/>
    </xf>
    <xf borderId="25" fillId="4" fontId="9" numFmtId="0" xfId="0" applyAlignment="1" applyBorder="1" applyFont="1">
      <alignment shrinkToFit="0" vertical="center" wrapText="1"/>
    </xf>
    <xf borderId="24" fillId="0" fontId="8" numFmtId="0" xfId="0" applyAlignment="1" applyBorder="1" applyFont="1">
      <alignment horizontal="left" shrinkToFit="0" vertical="center" wrapText="1"/>
    </xf>
    <xf borderId="75" fillId="0" fontId="13" numFmtId="0" xfId="0" applyAlignment="1" applyBorder="1" applyFont="1">
      <alignment shrinkToFit="0" vertical="center" wrapText="1"/>
    </xf>
    <xf borderId="40" fillId="0" fontId="10" numFmtId="0" xfId="0" applyAlignment="1" applyBorder="1" applyFont="1">
      <alignment horizontal="center" shrinkToFit="0" vertical="center" wrapText="1"/>
    </xf>
    <xf borderId="40" fillId="0" fontId="11" numFmtId="0" xfId="0" applyAlignment="1" applyBorder="1" applyFont="1">
      <alignment horizontal="center" shrinkToFit="0" vertical="center" wrapText="1"/>
    </xf>
    <xf borderId="40" fillId="0" fontId="10" numFmtId="3" xfId="0" applyAlignment="1" applyBorder="1" applyFont="1" applyNumberFormat="1">
      <alignment horizontal="right" vertical="center"/>
    </xf>
    <xf borderId="75" fillId="0" fontId="12" numFmtId="0" xfId="0" applyAlignment="1" applyBorder="1" applyFont="1">
      <alignment horizontal="center" shrinkToFit="0" vertical="center" wrapText="1"/>
    </xf>
    <xf borderId="16" fillId="4" fontId="10" numFmtId="0" xfId="0" applyAlignment="1" applyBorder="1" applyFont="1">
      <alignment horizontal="center" shrinkToFit="0" vertical="center" wrapText="1"/>
    </xf>
    <xf borderId="41" fillId="0" fontId="9" numFmtId="0" xfId="0" applyAlignment="1" applyBorder="1" applyFont="1">
      <alignment horizontal="left" shrinkToFit="0" vertical="center" wrapText="1"/>
    </xf>
    <xf borderId="0" fillId="0" fontId="23" numFmtId="0" xfId="0" applyAlignment="1" applyFont="1">
      <alignment horizontal="left" shrinkToFit="0" vertical="center" wrapText="1"/>
    </xf>
    <xf borderId="0" fillId="0" fontId="18" numFmtId="0" xfId="0" applyAlignment="1" applyFont="1">
      <alignment horizontal="center" shrinkToFit="0" wrapText="1"/>
    </xf>
    <xf borderId="0" fillId="0" fontId="18" numFmtId="2" xfId="0" applyAlignment="1" applyFont="1" applyNumberFormat="1">
      <alignment horizontal="left" shrinkToFit="0" wrapText="1"/>
    </xf>
    <xf borderId="0" fillId="0" fontId="18" numFmtId="0" xfId="0" applyAlignment="1" applyFont="1">
      <alignment shrinkToFit="0" wrapText="1"/>
    </xf>
    <xf borderId="29" fillId="14" fontId="2" numFmtId="0" xfId="0" applyAlignment="1" applyBorder="1" applyFill="1" applyFont="1">
      <alignment horizontal="center" shrinkToFit="0" wrapText="1"/>
    </xf>
    <xf borderId="4" fillId="14" fontId="4" numFmtId="0" xfId="0" applyAlignment="1" applyBorder="1" applyFont="1">
      <alignment horizontal="center" shrinkToFit="0" textRotation="90" vertical="center" wrapText="1"/>
    </xf>
    <xf borderId="4" fillId="14" fontId="20" numFmtId="0" xfId="0" applyAlignment="1" applyBorder="1" applyFont="1">
      <alignment horizontal="center" shrinkToFit="0" vertical="center" wrapText="1"/>
    </xf>
    <xf borderId="76" fillId="14" fontId="20" numFmtId="0" xfId="0" applyAlignment="1" applyBorder="1" applyFont="1">
      <alignment horizontal="center" shrinkToFit="0" wrapText="1"/>
    </xf>
    <xf borderId="4" fillId="14" fontId="4" numFmtId="3" xfId="0" applyAlignment="1" applyBorder="1" applyFont="1" applyNumberFormat="1">
      <alignment horizontal="center" shrinkToFit="0" wrapText="1"/>
    </xf>
    <xf borderId="4" fillId="14" fontId="20" numFmtId="0" xfId="0" applyAlignment="1" applyBorder="1" applyFont="1">
      <alignment horizontal="center" shrinkToFit="0" wrapText="1"/>
    </xf>
    <xf borderId="21" fillId="14" fontId="4" numFmtId="0" xfId="0" applyAlignment="1" applyBorder="1" applyFont="1">
      <alignment horizontal="center" shrinkToFit="0" vertical="center" wrapText="1"/>
    </xf>
    <xf borderId="22" fillId="14" fontId="4" numFmtId="0" xfId="0" applyAlignment="1" applyBorder="1" applyFont="1">
      <alignment horizontal="center" shrinkToFit="0" vertical="center" wrapText="1"/>
    </xf>
    <xf borderId="9" fillId="14" fontId="4" numFmtId="0" xfId="0" applyAlignment="1" applyBorder="1" applyFont="1">
      <alignment horizontal="center" shrinkToFit="0" textRotation="90" vertical="center" wrapText="1"/>
    </xf>
    <xf borderId="9" fillId="14" fontId="20" numFmtId="0" xfId="0" applyAlignment="1" applyBorder="1" applyFont="1">
      <alignment horizontal="center" shrinkToFit="0" vertical="center" wrapText="1"/>
    </xf>
    <xf borderId="77" fillId="14" fontId="6" numFmtId="0" xfId="0" applyAlignment="1" applyBorder="1" applyFont="1">
      <alignment horizontal="center" shrinkToFit="0" wrapText="1"/>
    </xf>
    <xf borderId="9" fillId="14" fontId="4" numFmtId="3" xfId="0" applyAlignment="1" applyBorder="1" applyFont="1" applyNumberFormat="1">
      <alignment horizontal="center" shrinkToFit="0" wrapText="1"/>
    </xf>
    <xf borderId="9" fillId="14" fontId="20" numFmtId="0" xfId="0" applyAlignment="1" applyBorder="1" applyFont="1">
      <alignment horizontal="center" shrinkToFit="0" wrapText="1"/>
    </xf>
    <xf borderId="43" fillId="14" fontId="4" numFmtId="0" xfId="0" applyAlignment="1" applyBorder="1" applyFont="1">
      <alignment horizontal="center" shrinkToFit="0" vertical="center" wrapText="1"/>
    </xf>
    <xf borderId="44" fillId="14" fontId="4" numFmtId="0" xfId="0" applyAlignment="1" applyBorder="1" applyFont="1">
      <alignment horizontal="center" shrinkToFit="0" vertical="center" wrapText="1"/>
    </xf>
    <xf borderId="14" fillId="14" fontId="4" numFmtId="0" xfId="0" applyAlignment="1" applyBorder="1" applyFont="1">
      <alignment horizontal="center" shrinkToFit="0" textRotation="90" vertical="center" wrapText="1"/>
    </xf>
    <xf borderId="14" fillId="14" fontId="20" numFmtId="0" xfId="0" applyAlignment="1" applyBorder="1" applyFont="1">
      <alignment horizontal="center" shrinkToFit="0" vertical="center" wrapText="1"/>
    </xf>
    <xf borderId="78" fillId="14" fontId="6" numFmtId="0" xfId="0" applyAlignment="1" applyBorder="1" applyFont="1">
      <alignment horizontal="center" shrinkToFit="0" wrapText="1"/>
    </xf>
    <xf borderId="14" fillId="14" fontId="4" numFmtId="3" xfId="0" applyAlignment="1" applyBorder="1" applyFont="1" applyNumberFormat="1">
      <alignment horizontal="center" shrinkToFit="0" wrapText="1"/>
    </xf>
    <xf borderId="14" fillId="14" fontId="20" numFmtId="0" xfId="0" applyAlignment="1" applyBorder="1" applyFont="1">
      <alignment horizontal="center" shrinkToFit="0" wrapText="1"/>
    </xf>
    <xf borderId="26" fillId="14" fontId="4" numFmtId="0" xfId="0" applyAlignment="1" applyBorder="1" applyFont="1">
      <alignment horizontal="center" shrinkToFit="0" vertical="center" wrapText="1"/>
    </xf>
    <xf borderId="27" fillId="14" fontId="4" numFmtId="0" xfId="0" applyAlignment="1" applyBorder="1" applyFont="1">
      <alignment horizontal="center" shrinkToFit="0" vertical="center" wrapText="1"/>
    </xf>
    <xf borderId="79" fillId="0" fontId="12" numFmtId="0" xfId="0" applyAlignment="1" applyBorder="1" applyFont="1">
      <alignment horizontal="right" vertical="center"/>
    </xf>
    <xf borderId="80" fillId="0" fontId="12" numFmtId="0" xfId="0" applyAlignment="1" applyBorder="1" applyFont="1">
      <alignment horizontal="right" vertical="center"/>
    </xf>
    <xf borderId="44" fillId="6" fontId="9" numFmtId="0" xfId="0" applyAlignment="1" applyBorder="1" applyFont="1">
      <alignment horizontal="left" shrinkToFit="0" vertical="center" wrapText="1"/>
    </xf>
    <xf borderId="0" fillId="0" fontId="22" numFmtId="0" xfId="0" applyAlignment="1" applyFont="1">
      <alignment shrinkToFit="0" wrapText="1"/>
    </xf>
    <xf borderId="81" fillId="0" fontId="12" numFmtId="0" xfId="0" applyAlignment="1" applyBorder="1" applyFont="1">
      <alignment horizontal="right" vertical="center"/>
    </xf>
    <xf borderId="27" fillId="6" fontId="9" numFmtId="0" xfId="0" applyAlignment="1" applyBorder="1" applyFont="1">
      <alignment horizontal="left" shrinkToFit="0" vertical="center" wrapText="1"/>
    </xf>
    <xf borderId="19" fillId="15" fontId="8" numFmtId="0" xfId="0" applyAlignment="1" applyBorder="1" applyFill="1" applyFont="1">
      <alignment horizontal="left" shrinkToFit="0" vertical="center" wrapText="1"/>
    </xf>
    <xf borderId="20" fillId="15" fontId="13" numFmtId="0" xfId="0" applyAlignment="1" applyBorder="1" applyFont="1">
      <alignment shrinkToFit="0" vertical="center" wrapText="1"/>
    </xf>
    <xf borderId="21" fillId="15" fontId="10" numFmtId="0" xfId="0" applyAlignment="1" applyBorder="1" applyFont="1">
      <alignment horizontal="center" shrinkToFit="0" vertical="center" wrapText="1"/>
    </xf>
    <xf borderId="21" fillId="15" fontId="11" numFmtId="0" xfId="0" applyAlignment="1" applyBorder="1" applyFont="1">
      <alignment horizontal="center" shrinkToFit="0" vertical="center" wrapText="1"/>
    </xf>
    <xf borderId="21" fillId="15" fontId="10" numFmtId="3" xfId="0" applyAlignment="1" applyBorder="1" applyFont="1" applyNumberFormat="1">
      <alignment horizontal="right" vertical="center"/>
    </xf>
    <xf borderId="22" fillId="15" fontId="10" numFmtId="0" xfId="0" applyAlignment="1" applyBorder="1" applyFont="1">
      <alignment horizontal="right" shrinkToFit="0" vertical="center" wrapText="1"/>
    </xf>
    <xf borderId="82" fillId="0" fontId="12" numFmtId="0" xfId="0" applyAlignment="1" applyBorder="1" applyFont="1">
      <alignment horizontal="right" shrinkToFit="0" vertical="center" wrapText="1"/>
    </xf>
    <xf borderId="22" fillId="0" fontId="9" numFmtId="3" xfId="0" applyAlignment="1" applyBorder="1" applyFont="1" applyNumberFormat="1">
      <alignment shrinkToFit="0" vertical="center" wrapText="1"/>
    </xf>
    <xf borderId="42" fillId="15" fontId="13" numFmtId="0" xfId="0" applyAlignment="1" applyBorder="1" applyFont="1">
      <alignment shrinkToFit="0" vertical="center" wrapText="1"/>
    </xf>
    <xf borderId="43" fillId="15" fontId="10" numFmtId="0" xfId="0" applyAlignment="1" applyBorder="1" applyFont="1">
      <alignment horizontal="center" shrinkToFit="0" vertical="center" wrapText="1"/>
    </xf>
    <xf borderId="43" fillId="15" fontId="11" numFmtId="0" xfId="0" applyAlignment="1" applyBorder="1" applyFont="1">
      <alignment horizontal="center" shrinkToFit="0" vertical="center" wrapText="1"/>
    </xf>
    <xf borderId="43" fillId="15" fontId="10" numFmtId="3" xfId="0" applyAlignment="1" applyBorder="1" applyFont="1" applyNumberFormat="1">
      <alignment horizontal="right" vertical="center"/>
    </xf>
    <xf borderId="44" fillId="15" fontId="10" numFmtId="0" xfId="0" applyAlignment="1" applyBorder="1" applyFont="1">
      <alignment horizontal="right" shrinkToFit="0" vertical="center" wrapText="1"/>
    </xf>
    <xf borderId="83" fillId="0" fontId="12" numFmtId="0" xfId="0" applyAlignment="1" applyBorder="1" applyFont="1">
      <alignment horizontal="right" shrinkToFit="0" vertical="center" wrapText="1"/>
    </xf>
    <xf borderId="44" fillId="0" fontId="9" numFmtId="3" xfId="0" applyAlignment="1" applyBorder="1" applyFont="1" applyNumberFormat="1">
      <alignment shrinkToFit="0" vertical="center" wrapText="1"/>
    </xf>
    <xf borderId="25" fillId="15" fontId="13" numFmtId="0" xfId="0" applyAlignment="1" applyBorder="1" applyFont="1">
      <alignment shrinkToFit="0" vertical="center" wrapText="1"/>
    </xf>
    <xf borderId="26" fillId="15" fontId="10" numFmtId="0" xfId="0" applyAlignment="1" applyBorder="1" applyFont="1">
      <alignment horizontal="center" shrinkToFit="0" vertical="center" wrapText="1"/>
    </xf>
    <xf borderId="26" fillId="15" fontId="11" numFmtId="0" xfId="0" applyAlignment="1" applyBorder="1" applyFont="1">
      <alignment horizontal="center" shrinkToFit="0" vertical="center" wrapText="1"/>
    </xf>
    <xf borderId="26" fillId="15" fontId="10" numFmtId="3" xfId="0" applyAlignment="1" applyBorder="1" applyFont="1" applyNumberFormat="1">
      <alignment horizontal="right" vertical="center"/>
    </xf>
    <xf borderId="27" fillId="15" fontId="10" numFmtId="0" xfId="0" applyAlignment="1" applyBorder="1" applyFont="1">
      <alignment horizontal="right" shrinkToFit="0" vertical="center" wrapText="1"/>
    </xf>
    <xf borderId="84" fillId="0" fontId="12" numFmtId="0" xfId="0" applyAlignment="1" applyBorder="1" applyFont="1">
      <alignment horizontal="right" shrinkToFit="0" vertical="center" wrapText="1"/>
    </xf>
    <xf borderId="27" fillId="0" fontId="9" numFmtId="3" xfId="0" applyAlignment="1" applyBorder="1" applyFont="1" applyNumberFormat="1">
      <alignment shrinkToFit="0" vertical="center" wrapText="1"/>
    </xf>
    <xf borderId="19" fillId="6" fontId="8" numFmtId="0" xfId="0" applyAlignment="1" applyBorder="1" applyFont="1">
      <alignment horizontal="left" shrinkToFit="0" vertical="center" wrapText="1"/>
    </xf>
    <xf borderId="22" fillId="6" fontId="10" numFmtId="0" xfId="0" applyAlignment="1" applyBorder="1" applyFont="1">
      <alignment horizontal="right" shrinkToFit="0" vertical="center" wrapText="1"/>
    </xf>
    <xf borderId="85" fillId="5" fontId="12" numFmtId="0" xfId="0" applyAlignment="1" applyBorder="1" applyFont="1">
      <alignment horizontal="right" shrinkToFit="0" vertical="center" wrapText="1"/>
    </xf>
    <xf borderId="22" fillId="6" fontId="9" numFmtId="3" xfId="0" applyAlignment="1" applyBorder="1" applyFont="1" applyNumberFormat="1">
      <alignment shrinkToFit="0" vertical="center" wrapText="1"/>
    </xf>
    <xf borderId="27" fillId="6" fontId="10" numFmtId="0" xfId="0" applyAlignment="1" applyBorder="1" applyFont="1">
      <alignment horizontal="right" shrinkToFit="0" vertical="center" wrapText="1"/>
    </xf>
    <xf borderId="86" fillId="6" fontId="12" numFmtId="0" xfId="0" applyAlignment="1" applyBorder="1" applyFont="1">
      <alignment horizontal="right" shrinkToFit="0" vertical="center" wrapText="1"/>
    </xf>
    <xf borderId="27" fillId="6" fontId="9" numFmtId="3" xfId="0" applyAlignment="1" applyBorder="1" applyFont="1" applyNumberFormat="1">
      <alignment shrinkToFit="0" vertical="center" wrapText="1"/>
    </xf>
    <xf borderId="19" fillId="0" fontId="24" numFmtId="0" xfId="0" applyAlignment="1" applyBorder="1" applyFont="1">
      <alignment horizontal="center" shrinkToFit="0" textRotation="90" vertical="center" wrapText="1"/>
    </xf>
    <xf borderId="81" fillId="0" fontId="12" numFmtId="0" xfId="0" applyAlignment="1" applyBorder="1" applyFont="1">
      <alignment horizontal="right" shrinkToFit="0" vertical="center" wrapText="1"/>
    </xf>
    <xf borderId="41" fillId="0" fontId="9" numFmtId="3" xfId="0" applyAlignment="1" applyBorder="1" applyFont="1" applyNumberFormat="1">
      <alignment shrinkToFit="0" vertical="center" wrapText="1"/>
    </xf>
    <xf borderId="28" fillId="0" fontId="8" numFmtId="0" xfId="0" applyAlignment="1" applyBorder="1" applyFont="1">
      <alignment shrinkToFit="0" vertical="center" wrapText="1"/>
    </xf>
    <xf borderId="32" fillId="0" fontId="13" numFmtId="0" xfId="0" applyAlignment="1" applyBorder="1" applyFont="1">
      <alignment shrinkToFit="0" vertical="center" wrapText="1"/>
    </xf>
    <xf borderId="33" fillId="0" fontId="10" numFmtId="3" xfId="0" applyAlignment="1" applyBorder="1" applyFont="1" applyNumberFormat="1">
      <alignment vertical="center"/>
    </xf>
    <xf borderId="87" fillId="0" fontId="12" numFmtId="0" xfId="0" applyAlignment="1" applyBorder="1" applyFont="1">
      <alignment horizontal="right" shrinkToFit="0" vertical="center" wrapText="1"/>
    </xf>
    <xf borderId="28" fillId="15" fontId="8" numFmtId="0" xfId="0" applyAlignment="1" applyBorder="1" applyFont="1">
      <alignment horizontal="left" shrinkToFit="0" vertical="center" wrapText="1"/>
    </xf>
    <xf borderId="32" fillId="15" fontId="13" numFmtId="0" xfId="0" applyAlignment="1" applyBorder="1" applyFont="1">
      <alignment shrinkToFit="0" vertical="center" wrapText="1"/>
    </xf>
    <xf borderId="33" fillId="15" fontId="10" numFmtId="0" xfId="0" applyAlignment="1" applyBorder="1" applyFont="1">
      <alignment horizontal="center" shrinkToFit="0" vertical="center" wrapText="1"/>
    </xf>
    <xf borderId="33" fillId="15" fontId="11" numFmtId="0" xfId="0" applyAlignment="1" applyBorder="1" applyFont="1">
      <alignment horizontal="center" shrinkToFit="0" vertical="center" wrapText="1"/>
    </xf>
    <xf borderId="33" fillId="15" fontId="10" numFmtId="3" xfId="0" applyAlignment="1" applyBorder="1" applyFont="1" applyNumberFormat="1">
      <alignment vertical="center"/>
    </xf>
    <xf borderId="34" fillId="15" fontId="10" numFmtId="0" xfId="0" applyAlignment="1" applyBorder="1" applyFont="1">
      <alignment horizontal="right" vertical="center"/>
    </xf>
    <xf borderId="87" fillId="0" fontId="12" numFmtId="0" xfId="0" applyAlignment="1" applyBorder="1" applyFont="1">
      <alignment horizontal="right" vertical="center"/>
    </xf>
    <xf borderId="34" fillId="0" fontId="9" numFmtId="3" xfId="0" applyAlignment="1" applyBorder="1" applyFont="1" applyNumberFormat="1">
      <alignment horizontal="left" vertical="center"/>
    </xf>
    <xf borderId="0" fillId="0" fontId="4" numFmtId="0" xfId="0" applyAlignment="1" applyFont="1">
      <alignment shrinkToFit="0" vertical="center" wrapText="1"/>
    </xf>
    <xf borderId="0" fillId="0" fontId="16" numFmtId="0" xfId="0" applyFont="1"/>
    <xf borderId="0" fillId="0" fontId="18" numFmtId="0" xfId="0" applyAlignment="1" applyFont="1">
      <alignment horizontal="left"/>
    </xf>
    <xf borderId="68" fillId="9" fontId="13" numFmtId="0" xfId="0" applyAlignment="1" applyBorder="1" applyFont="1">
      <alignment shrinkToFit="0" vertical="center" wrapText="1"/>
    </xf>
    <xf borderId="0" fillId="0" fontId="25" numFmtId="0" xfId="0" applyFont="1"/>
    <xf borderId="0" fillId="0" fontId="1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26" width="8.71"/>
  </cols>
  <sheetData>
    <row r="1" ht="12.0" customHeight="1"/>
    <row r="2" ht="12.0" customHeight="1"/>
    <row r="3" ht="12.0" customHeight="1"/>
    <row r="4" ht="12.0" customHeight="1"/>
    <row r="5" ht="12.0" customHeight="1"/>
    <row r="6" ht="12.0" customHeight="1"/>
    <row r="7" ht="12.0" customHeight="1"/>
    <row r="8" ht="12.0" customHeight="1">
      <c r="B8" s="1"/>
    </row>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horizontalCentered="1"/>
  <pageMargins bottom="0.0" footer="0.0" header="0.0" left="0.0" right="0.0" top="0.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sheetPr>
  <sheetViews>
    <sheetView workbookViewId="0"/>
  </sheetViews>
  <sheetFormatPr customHeight="1" defaultColWidth="14.43" defaultRowHeight="15.0"/>
  <cols>
    <col customWidth="1" min="1" max="1" width="5.29"/>
    <col customWidth="1" min="2" max="2" width="24.86"/>
    <col customWidth="1" min="3" max="3" width="39.57"/>
    <col customWidth="1" min="4" max="4" width="7.71"/>
    <col customWidth="1" min="5" max="5" width="8.43"/>
    <col customWidth="1" hidden="1" min="6" max="7" width="9.71"/>
    <col customWidth="1" hidden="1" min="8" max="8" width="8.71"/>
    <col customWidth="1" hidden="1" min="9" max="9" width="9.29"/>
    <col customWidth="1" min="10" max="10" width="10.57"/>
    <col customWidth="1" min="11" max="11" width="50.57"/>
    <col customWidth="1" min="12" max="26" width="8.71"/>
  </cols>
  <sheetData>
    <row r="1">
      <c r="A1" s="2" t="s">
        <v>0</v>
      </c>
      <c r="B1" s="3"/>
      <c r="C1" s="3"/>
      <c r="D1" s="3"/>
      <c r="E1" s="3"/>
      <c r="F1" s="3"/>
      <c r="G1" s="3"/>
      <c r="H1" s="3"/>
      <c r="I1" s="3"/>
      <c r="J1" s="3"/>
      <c r="K1" s="4"/>
    </row>
    <row r="2">
      <c r="A2" s="5" t="s">
        <v>1</v>
      </c>
      <c r="B2" s="6" t="s">
        <v>2</v>
      </c>
      <c r="C2" s="6" t="s">
        <v>3</v>
      </c>
      <c r="D2" s="7" t="s">
        <v>4</v>
      </c>
      <c r="E2" s="8" t="s">
        <v>5</v>
      </c>
      <c r="F2" s="9" t="s">
        <v>6</v>
      </c>
      <c r="G2" s="9" t="s">
        <v>7</v>
      </c>
      <c r="H2" s="10" t="s">
        <v>8</v>
      </c>
      <c r="I2" s="11"/>
      <c r="J2" s="12" t="s">
        <v>9</v>
      </c>
      <c r="K2" s="12" t="s">
        <v>10</v>
      </c>
    </row>
    <row r="3">
      <c r="A3" s="13"/>
      <c r="B3" s="14"/>
      <c r="C3" s="14"/>
      <c r="D3" s="15" t="s">
        <v>11</v>
      </c>
      <c r="E3" s="16"/>
      <c r="F3" s="17"/>
      <c r="G3" s="17"/>
      <c r="H3" s="18"/>
      <c r="I3" s="19"/>
      <c r="J3" s="20"/>
      <c r="K3" s="20"/>
    </row>
    <row r="4">
      <c r="A4" s="21"/>
      <c r="B4" s="22"/>
      <c r="C4" s="22"/>
      <c r="D4" s="23" t="s">
        <v>12</v>
      </c>
      <c r="E4" s="24"/>
      <c r="F4" s="25"/>
      <c r="G4" s="25"/>
      <c r="H4" s="26"/>
      <c r="I4" s="27"/>
      <c r="J4" s="28"/>
      <c r="K4" s="28"/>
    </row>
    <row r="5" ht="76.5" customHeight="1">
      <c r="A5" s="29" t="s">
        <v>13</v>
      </c>
      <c r="B5" s="30" t="s">
        <v>14</v>
      </c>
      <c r="C5" s="31" t="s">
        <v>15</v>
      </c>
      <c r="D5" s="32" t="s">
        <v>16</v>
      </c>
      <c r="E5" s="33" t="s">
        <v>17</v>
      </c>
      <c r="F5" s="34">
        <v>2500.0</v>
      </c>
      <c r="G5" s="34"/>
      <c r="H5" s="35"/>
      <c r="I5" s="36" t="s">
        <v>18</v>
      </c>
      <c r="J5" s="37" t="s">
        <v>19</v>
      </c>
      <c r="K5" s="38" t="s">
        <v>20</v>
      </c>
    </row>
    <row r="6" ht="76.5" customHeight="1">
      <c r="A6" s="39"/>
      <c r="B6" s="40"/>
      <c r="C6" s="41" t="s">
        <v>21</v>
      </c>
      <c r="D6" s="42" t="s">
        <v>22</v>
      </c>
      <c r="E6" s="43" t="s">
        <v>23</v>
      </c>
      <c r="F6" s="44">
        <v>600.0</v>
      </c>
      <c r="G6" s="44"/>
      <c r="H6" s="45"/>
      <c r="I6" s="46" t="s">
        <v>24</v>
      </c>
      <c r="J6" s="47" t="s">
        <v>19</v>
      </c>
      <c r="K6" s="48" t="s">
        <v>25</v>
      </c>
    </row>
    <row r="7" ht="45.0" customHeight="1">
      <c r="A7" s="39"/>
      <c r="B7" s="49" t="s">
        <v>26</v>
      </c>
      <c r="C7" s="50" t="s">
        <v>27</v>
      </c>
      <c r="D7" s="51"/>
      <c r="E7" s="51"/>
      <c r="F7" s="51"/>
      <c r="G7" s="51"/>
      <c r="H7" s="52"/>
      <c r="I7" s="53"/>
      <c r="J7" s="54"/>
      <c r="K7" s="55" t="s">
        <v>28</v>
      </c>
    </row>
    <row r="8">
      <c r="A8" s="39"/>
      <c r="B8" s="56" t="s">
        <v>29</v>
      </c>
      <c r="C8" s="57" t="s">
        <v>27</v>
      </c>
      <c r="D8" s="58"/>
      <c r="E8" s="58"/>
      <c r="F8" s="58"/>
      <c r="G8" s="58"/>
      <c r="H8" s="59"/>
      <c r="I8" s="60"/>
      <c r="J8" s="61" t="s">
        <v>19</v>
      </c>
      <c r="K8" s="62" t="s">
        <v>30</v>
      </c>
    </row>
    <row r="9" ht="76.5" customHeight="1">
      <c r="A9" s="39"/>
      <c r="B9" s="49" t="s">
        <v>31</v>
      </c>
      <c r="C9" s="50" t="s">
        <v>27</v>
      </c>
      <c r="D9" s="51"/>
      <c r="E9" s="51"/>
      <c r="F9" s="51"/>
      <c r="G9" s="51"/>
      <c r="H9" s="52"/>
      <c r="I9" s="63"/>
      <c r="J9" s="64"/>
      <c r="K9" s="65"/>
    </row>
    <row r="10" ht="41.25" customHeight="1">
      <c r="A10" s="39"/>
      <c r="B10" s="30" t="s">
        <v>32</v>
      </c>
      <c r="C10" s="66" t="s">
        <v>33</v>
      </c>
      <c r="D10" s="32" t="s">
        <v>34</v>
      </c>
      <c r="E10" s="33" t="s">
        <v>35</v>
      </c>
      <c r="F10" s="34">
        <v>1500.0</v>
      </c>
      <c r="G10" s="34"/>
      <c r="H10" s="35"/>
      <c r="I10" s="67" t="s">
        <v>24</v>
      </c>
      <c r="J10" s="68" t="s">
        <v>36</v>
      </c>
      <c r="K10" s="38" t="s">
        <v>37</v>
      </c>
    </row>
    <row r="11" ht="41.25" customHeight="1">
      <c r="A11" s="40"/>
      <c r="B11" s="40"/>
      <c r="C11" s="41" t="s">
        <v>38</v>
      </c>
      <c r="D11" s="42" t="s">
        <v>34</v>
      </c>
      <c r="E11" s="43" t="s">
        <v>35</v>
      </c>
      <c r="F11" s="44">
        <v>1300.0</v>
      </c>
      <c r="G11" s="44"/>
      <c r="H11" s="45"/>
      <c r="I11" s="69" t="s">
        <v>18</v>
      </c>
      <c r="J11" s="70" t="s">
        <v>36</v>
      </c>
      <c r="K11" s="48" t="s">
        <v>39</v>
      </c>
    </row>
    <row r="12" ht="28.5" customHeight="1">
      <c r="A12" s="29" t="s">
        <v>40</v>
      </c>
      <c r="B12" s="71" t="s">
        <v>41</v>
      </c>
      <c r="C12" s="72" t="s">
        <v>42</v>
      </c>
      <c r="D12" s="73" t="s">
        <v>43</v>
      </c>
      <c r="E12" s="74" t="s">
        <v>44</v>
      </c>
      <c r="F12" s="75"/>
      <c r="G12" s="76"/>
      <c r="H12" s="77"/>
      <c r="I12" s="36"/>
      <c r="J12" s="68" t="s">
        <v>36</v>
      </c>
      <c r="K12" s="38"/>
    </row>
    <row r="13">
      <c r="A13" s="39"/>
      <c r="B13" s="40"/>
      <c r="C13" s="78" t="s">
        <v>45</v>
      </c>
      <c r="D13" s="79" t="s">
        <v>43</v>
      </c>
      <c r="E13" s="80" t="s">
        <v>46</v>
      </c>
      <c r="F13" s="81"/>
      <c r="G13" s="82"/>
      <c r="H13" s="83"/>
      <c r="I13" s="84"/>
      <c r="J13" s="70" t="s">
        <v>36</v>
      </c>
      <c r="K13" s="48" t="s">
        <v>47</v>
      </c>
    </row>
    <row r="14">
      <c r="A14" s="39"/>
      <c r="B14" s="85" t="s">
        <v>48</v>
      </c>
      <c r="C14" s="86" t="s">
        <v>27</v>
      </c>
      <c r="D14" s="51"/>
      <c r="E14" s="51"/>
      <c r="F14" s="51"/>
      <c r="G14" s="51"/>
      <c r="H14" s="52"/>
      <c r="I14" s="87"/>
      <c r="J14" s="88" t="s">
        <v>19</v>
      </c>
      <c r="K14" s="55" t="s">
        <v>49</v>
      </c>
    </row>
    <row r="15">
      <c r="A15" s="39"/>
      <c r="B15" s="49" t="s">
        <v>50</v>
      </c>
      <c r="C15" s="50" t="s">
        <v>27</v>
      </c>
      <c r="D15" s="51"/>
      <c r="E15" s="51"/>
      <c r="F15" s="51"/>
      <c r="G15" s="51"/>
      <c r="H15" s="52"/>
      <c r="I15" s="89"/>
      <c r="J15" s="54"/>
      <c r="K15" s="55" t="s">
        <v>28</v>
      </c>
    </row>
    <row r="16" ht="38.25" customHeight="1">
      <c r="A16" s="39"/>
      <c r="B16" s="85" t="s">
        <v>51</v>
      </c>
      <c r="C16" s="86" t="s">
        <v>27</v>
      </c>
      <c r="D16" s="51"/>
      <c r="E16" s="51"/>
      <c r="F16" s="51"/>
      <c r="G16" s="51"/>
      <c r="H16" s="52"/>
      <c r="I16" s="53"/>
      <c r="J16" s="54"/>
      <c r="K16" s="55" t="s">
        <v>28</v>
      </c>
    </row>
    <row r="17">
      <c r="A17" s="39"/>
      <c r="B17" s="49" t="s">
        <v>52</v>
      </c>
      <c r="C17" s="50" t="s">
        <v>27</v>
      </c>
      <c r="D17" s="51"/>
      <c r="E17" s="51"/>
      <c r="F17" s="51"/>
      <c r="G17" s="51"/>
      <c r="H17" s="52"/>
      <c r="I17" s="89"/>
      <c r="J17" s="54"/>
      <c r="K17" s="55" t="s">
        <v>28</v>
      </c>
    </row>
    <row r="18">
      <c r="A18" s="40"/>
      <c r="B18" s="85" t="s">
        <v>53</v>
      </c>
      <c r="C18" s="86" t="s">
        <v>27</v>
      </c>
      <c r="D18" s="51"/>
      <c r="E18" s="51"/>
      <c r="F18" s="51"/>
      <c r="G18" s="51"/>
      <c r="H18" s="52"/>
      <c r="I18" s="87"/>
      <c r="J18" s="54"/>
      <c r="K18" s="55" t="s">
        <v>28</v>
      </c>
    </row>
    <row r="19" ht="43.5" customHeight="1">
      <c r="A19" s="29" t="s">
        <v>54</v>
      </c>
      <c r="B19" s="71" t="s">
        <v>55</v>
      </c>
      <c r="C19" s="90" t="s">
        <v>56</v>
      </c>
      <c r="D19" s="91" t="s">
        <v>16</v>
      </c>
      <c r="E19" s="92" t="s">
        <v>57</v>
      </c>
      <c r="F19" s="93">
        <v>500.0</v>
      </c>
      <c r="G19" s="93"/>
      <c r="H19" s="94"/>
      <c r="I19" s="67" t="s">
        <v>24</v>
      </c>
      <c r="J19" s="37" t="s">
        <v>19</v>
      </c>
      <c r="K19" s="38" t="s">
        <v>58</v>
      </c>
    </row>
    <row r="20">
      <c r="A20" s="40"/>
      <c r="B20" s="40"/>
      <c r="C20" s="95" t="s">
        <v>59</v>
      </c>
      <c r="D20" s="96" t="s">
        <v>16</v>
      </c>
      <c r="E20" s="97" t="s">
        <v>57</v>
      </c>
      <c r="F20" s="98">
        <v>2500.0</v>
      </c>
      <c r="G20" s="98"/>
      <c r="H20" s="99"/>
      <c r="I20" s="100" t="s">
        <v>24</v>
      </c>
      <c r="J20" s="47" t="s">
        <v>19</v>
      </c>
      <c r="K20" s="48" t="s">
        <v>60</v>
      </c>
    </row>
    <row r="21" ht="43.5" customHeight="1">
      <c r="A21" s="29" t="s">
        <v>54</v>
      </c>
      <c r="B21" s="71" t="s">
        <v>55</v>
      </c>
      <c r="C21" s="90" t="s">
        <v>61</v>
      </c>
      <c r="D21" s="91" t="s">
        <v>16</v>
      </c>
      <c r="E21" s="92" t="s">
        <v>62</v>
      </c>
      <c r="F21" s="93">
        <v>2600.0</v>
      </c>
      <c r="G21" s="93"/>
      <c r="H21" s="94"/>
      <c r="I21" s="67" t="s">
        <v>24</v>
      </c>
      <c r="J21" s="68" t="s">
        <v>36</v>
      </c>
      <c r="K21" s="38" t="s">
        <v>63</v>
      </c>
    </row>
    <row r="22">
      <c r="A22" s="39"/>
      <c r="B22" s="40"/>
      <c r="C22" s="95" t="s">
        <v>64</v>
      </c>
      <c r="D22" s="96" t="s">
        <v>34</v>
      </c>
      <c r="E22" s="97" t="s">
        <v>62</v>
      </c>
      <c r="F22" s="98">
        <f>2800+500</f>
        <v>3300</v>
      </c>
      <c r="G22" s="98"/>
      <c r="H22" s="99"/>
      <c r="I22" s="100" t="s">
        <v>65</v>
      </c>
      <c r="J22" s="70" t="s">
        <v>36</v>
      </c>
      <c r="K22" s="48" t="s">
        <v>66</v>
      </c>
    </row>
    <row r="23">
      <c r="A23" s="39"/>
      <c r="B23" s="30" t="s">
        <v>67</v>
      </c>
      <c r="C23" s="66" t="s">
        <v>68</v>
      </c>
      <c r="D23" s="32" t="s">
        <v>69</v>
      </c>
      <c r="E23" s="33" t="s">
        <v>70</v>
      </c>
      <c r="F23" s="101">
        <v>1634.0</v>
      </c>
      <c r="G23" s="101"/>
      <c r="H23" s="102"/>
      <c r="I23" s="103" t="s">
        <v>24</v>
      </c>
      <c r="J23" s="68" t="s">
        <v>36</v>
      </c>
      <c r="K23" s="38" t="s">
        <v>71</v>
      </c>
    </row>
    <row r="24">
      <c r="A24" s="39"/>
      <c r="B24" s="39"/>
      <c r="C24" s="104" t="s">
        <v>72</v>
      </c>
      <c r="D24" s="105" t="s">
        <v>73</v>
      </c>
      <c r="E24" s="106" t="s">
        <v>74</v>
      </c>
      <c r="F24" s="107"/>
      <c r="G24" s="108"/>
      <c r="H24" s="109"/>
      <c r="I24" s="110"/>
      <c r="J24" s="111" t="s">
        <v>36</v>
      </c>
      <c r="K24" s="112" t="s">
        <v>75</v>
      </c>
    </row>
    <row r="25">
      <c r="A25" s="39"/>
      <c r="B25" s="39"/>
      <c r="C25" s="104" t="s">
        <v>76</v>
      </c>
      <c r="D25" s="105" t="s">
        <v>69</v>
      </c>
      <c r="E25" s="106" t="s">
        <v>62</v>
      </c>
      <c r="F25" s="107"/>
      <c r="G25" s="108"/>
      <c r="H25" s="113"/>
      <c r="I25" s="110"/>
      <c r="J25" s="111" t="s">
        <v>36</v>
      </c>
      <c r="K25" s="112" t="s">
        <v>77</v>
      </c>
    </row>
    <row r="26">
      <c r="A26" s="39"/>
      <c r="B26" s="39"/>
      <c r="C26" s="104" t="s">
        <v>78</v>
      </c>
      <c r="D26" s="105" t="s">
        <v>79</v>
      </c>
      <c r="E26" s="106" t="s">
        <v>80</v>
      </c>
      <c r="F26" s="107"/>
      <c r="G26" s="108"/>
      <c r="H26" s="113" t="s">
        <v>81</v>
      </c>
      <c r="I26" s="110"/>
      <c r="J26" s="111" t="s">
        <v>36</v>
      </c>
      <c r="K26" s="112" t="s">
        <v>82</v>
      </c>
    </row>
    <row r="27">
      <c r="A27" s="39"/>
      <c r="B27" s="40"/>
      <c r="C27" s="114" t="s">
        <v>83</v>
      </c>
      <c r="D27" s="115" t="s">
        <v>69</v>
      </c>
      <c r="E27" s="116" t="s">
        <v>84</v>
      </c>
      <c r="F27" s="117"/>
      <c r="G27" s="117"/>
      <c r="H27" s="118"/>
      <c r="I27" s="84"/>
      <c r="J27" s="70" t="s">
        <v>36</v>
      </c>
      <c r="K27" s="48" t="s">
        <v>85</v>
      </c>
    </row>
    <row r="28">
      <c r="A28" s="39"/>
      <c r="B28" s="49" t="s">
        <v>86</v>
      </c>
      <c r="C28" s="50" t="s">
        <v>87</v>
      </c>
      <c r="D28" s="51"/>
      <c r="E28" s="51"/>
      <c r="F28" s="51"/>
      <c r="G28" s="51"/>
      <c r="H28" s="52"/>
      <c r="I28" s="89"/>
      <c r="J28" s="54"/>
      <c r="K28" s="55"/>
    </row>
    <row r="29">
      <c r="A29" s="39"/>
      <c r="B29" s="30" t="s">
        <v>88</v>
      </c>
      <c r="C29" s="66" t="s">
        <v>89</v>
      </c>
      <c r="D29" s="32" t="s">
        <v>34</v>
      </c>
      <c r="E29" s="33" t="s">
        <v>62</v>
      </c>
      <c r="F29" s="34"/>
      <c r="G29" s="101"/>
      <c r="H29" s="102" t="s">
        <v>81</v>
      </c>
      <c r="I29" s="36"/>
      <c r="J29" s="68" t="s">
        <v>36</v>
      </c>
      <c r="K29" s="38" t="s">
        <v>90</v>
      </c>
    </row>
    <row r="30">
      <c r="A30" s="40"/>
      <c r="B30" s="40"/>
      <c r="C30" s="41" t="s">
        <v>91</v>
      </c>
      <c r="D30" s="42" t="s">
        <v>92</v>
      </c>
      <c r="E30" s="43" t="s">
        <v>62</v>
      </c>
      <c r="F30" s="44"/>
      <c r="G30" s="119"/>
      <c r="H30" s="120"/>
      <c r="I30" s="84"/>
      <c r="J30" s="70" t="s">
        <v>36</v>
      </c>
      <c r="K30" s="48" t="s">
        <v>93</v>
      </c>
    </row>
    <row r="31">
      <c r="A31" s="121"/>
      <c r="B31" s="122"/>
      <c r="D31" s="123"/>
      <c r="E31" s="124"/>
      <c r="F31" s="125"/>
      <c r="G31" s="125"/>
      <c r="I31" s="126"/>
      <c r="J31" s="127"/>
      <c r="K31" s="128"/>
    </row>
    <row r="32">
      <c r="A32" s="121"/>
      <c r="B32" s="122"/>
      <c r="D32" s="123"/>
      <c r="E32" s="124"/>
      <c r="F32" s="125"/>
      <c r="G32" s="125"/>
      <c r="I32" s="126"/>
      <c r="J32" s="127"/>
      <c r="K32" s="127"/>
    </row>
    <row r="33">
      <c r="A33" s="121"/>
      <c r="B33" s="122"/>
      <c r="D33" s="123"/>
      <c r="E33" s="124"/>
      <c r="F33" s="125"/>
      <c r="G33" s="125"/>
      <c r="I33" s="126"/>
      <c r="J33" s="127"/>
      <c r="K33" s="127"/>
    </row>
    <row r="34">
      <c r="A34" s="121"/>
      <c r="B34" s="122"/>
      <c r="D34" s="123"/>
      <c r="E34" s="124"/>
      <c r="F34" s="125"/>
      <c r="G34" s="125"/>
      <c r="I34" s="126"/>
      <c r="J34" s="127"/>
      <c r="K34" s="127"/>
    </row>
    <row r="35">
      <c r="A35" s="121"/>
      <c r="B35" s="122"/>
      <c r="D35" s="123"/>
      <c r="E35" s="124"/>
      <c r="F35" s="125"/>
      <c r="G35" s="125"/>
      <c r="I35" s="126"/>
      <c r="J35" s="127"/>
      <c r="K35" s="127"/>
    </row>
    <row r="36">
      <c r="A36" s="121"/>
      <c r="B36" s="122"/>
      <c r="D36" s="123"/>
      <c r="E36" s="124"/>
      <c r="F36" s="125"/>
      <c r="G36" s="125"/>
      <c r="I36" s="126"/>
      <c r="J36" s="127"/>
      <c r="K36" s="127"/>
    </row>
    <row r="37">
      <c r="A37" s="121"/>
      <c r="B37" s="122"/>
      <c r="D37" s="123"/>
      <c r="E37" s="124"/>
      <c r="F37" s="125"/>
      <c r="G37" s="125"/>
      <c r="I37" s="126"/>
      <c r="J37" s="127"/>
      <c r="K37" s="127"/>
    </row>
    <row r="38">
      <c r="A38" s="121"/>
      <c r="B38" s="122"/>
      <c r="D38" s="123"/>
      <c r="E38" s="124"/>
      <c r="F38" s="125"/>
      <c r="G38" s="125"/>
      <c r="I38" s="126"/>
      <c r="J38" s="127"/>
      <c r="K38" s="127"/>
    </row>
    <row r="39">
      <c r="A39" s="121"/>
      <c r="B39" s="122"/>
      <c r="D39" s="123"/>
      <c r="E39" s="124"/>
      <c r="F39" s="125"/>
      <c r="G39" s="125"/>
      <c r="I39" s="126"/>
      <c r="J39" s="127"/>
      <c r="K39" s="127"/>
    </row>
    <row r="40">
      <c r="A40" s="121"/>
      <c r="B40" s="122"/>
      <c r="D40" s="123"/>
      <c r="E40" s="124"/>
      <c r="F40" s="125"/>
      <c r="G40" s="125"/>
      <c r="I40" s="126"/>
      <c r="J40" s="127"/>
      <c r="K40" s="127"/>
    </row>
    <row r="41">
      <c r="A41" s="121"/>
      <c r="B41" s="122"/>
      <c r="D41" s="123"/>
      <c r="E41" s="124"/>
      <c r="F41" s="125"/>
      <c r="G41" s="125"/>
      <c r="I41" s="126"/>
      <c r="J41" s="127"/>
      <c r="K41" s="127"/>
    </row>
    <row r="42">
      <c r="A42" s="121"/>
      <c r="B42" s="122"/>
      <c r="D42" s="123"/>
      <c r="E42" s="124"/>
      <c r="F42" s="125"/>
      <c r="G42" s="125"/>
      <c r="I42" s="126"/>
      <c r="J42" s="127"/>
      <c r="K42" s="127"/>
    </row>
    <row r="43">
      <c r="A43" s="121"/>
      <c r="B43" s="122"/>
      <c r="D43" s="123"/>
      <c r="E43" s="124"/>
      <c r="F43" s="125"/>
      <c r="G43" s="125"/>
      <c r="I43" s="126"/>
      <c r="J43" s="127"/>
      <c r="K43" s="127"/>
    </row>
    <row r="44">
      <c r="A44" s="121"/>
      <c r="B44" s="122"/>
      <c r="D44" s="123"/>
      <c r="E44" s="124"/>
      <c r="F44" s="125"/>
      <c r="G44" s="125"/>
      <c r="I44" s="126"/>
      <c r="J44" s="127"/>
      <c r="K44" s="127"/>
    </row>
    <row r="45">
      <c r="A45" s="121"/>
      <c r="B45" s="122"/>
      <c r="D45" s="123"/>
      <c r="E45" s="124"/>
      <c r="F45" s="125"/>
      <c r="G45" s="125"/>
      <c r="I45" s="126"/>
      <c r="J45" s="127"/>
      <c r="K45" s="127"/>
    </row>
    <row r="46">
      <c r="A46" s="121"/>
      <c r="B46" s="122"/>
      <c r="D46" s="123"/>
      <c r="E46" s="124"/>
      <c r="F46" s="125"/>
      <c r="G46" s="125"/>
      <c r="I46" s="126"/>
      <c r="J46" s="127"/>
      <c r="K46" s="127"/>
    </row>
    <row r="47">
      <c r="A47" s="121"/>
      <c r="B47" s="122"/>
      <c r="D47" s="123"/>
      <c r="E47" s="124"/>
      <c r="F47" s="125"/>
      <c r="G47" s="125"/>
      <c r="I47" s="126"/>
      <c r="J47" s="127"/>
      <c r="K47" s="127"/>
    </row>
    <row r="48">
      <c r="A48" s="121"/>
      <c r="B48" s="122"/>
      <c r="D48" s="123"/>
      <c r="E48" s="124"/>
      <c r="F48" s="125"/>
      <c r="G48" s="125"/>
      <c r="I48" s="126"/>
      <c r="J48" s="127"/>
      <c r="K48" s="127"/>
    </row>
    <row r="49">
      <c r="A49" s="121"/>
      <c r="B49" s="122"/>
      <c r="D49" s="123"/>
      <c r="E49" s="124"/>
      <c r="F49" s="125"/>
      <c r="G49" s="125"/>
      <c r="I49" s="126"/>
      <c r="J49" s="127"/>
      <c r="K49" s="127"/>
    </row>
    <row r="50">
      <c r="A50" s="121"/>
      <c r="B50" s="122"/>
      <c r="D50" s="123"/>
      <c r="E50" s="124"/>
      <c r="F50" s="125"/>
      <c r="G50" s="125"/>
      <c r="I50" s="126"/>
      <c r="J50" s="127"/>
      <c r="K50" s="127"/>
    </row>
    <row r="51">
      <c r="A51" s="121"/>
      <c r="B51" s="122"/>
      <c r="D51" s="123"/>
      <c r="E51" s="124"/>
      <c r="F51" s="125"/>
      <c r="G51" s="125"/>
      <c r="I51" s="126"/>
      <c r="J51" s="127"/>
      <c r="K51" s="127"/>
    </row>
    <row r="52">
      <c r="A52" s="121"/>
      <c r="B52" s="122"/>
      <c r="D52" s="123"/>
      <c r="E52" s="124"/>
      <c r="F52" s="125"/>
      <c r="G52" s="125"/>
      <c r="I52" s="126"/>
      <c r="J52" s="127"/>
      <c r="K52" s="127"/>
    </row>
    <row r="53">
      <c r="A53" s="121"/>
      <c r="B53" s="122"/>
      <c r="D53" s="123"/>
      <c r="E53" s="124"/>
      <c r="F53" s="125"/>
      <c r="G53" s="125"/>
      <c r="I53" s="126"/>
      <c r="J53" s="127"/>
      <c r="K53" s="127"/>
    </row>
    <row r="54">
      <c r="A54" s="121"/>
      <c r="B54" s="122"/>
      <c r="D54" s="123"/>
      <c r="E54" s="124"/>
      <c r="F54" s="125"/>
      <c r="G54" s="125"/>
      <c r="I54" s="126"/>
      <c r="J54" s="127"/>
      <c r="K54" s="127"/>
    </row>
    <row r="55">
      <c r="A55" s="121"/>
      <c r="B55" s="122"/>
      <c r="D55" s="123"/>
      <c r="E55" s="124"/>
      <c r="F55" s="125"/>
      <c r="G55" s="125"/>
      <c r="I55" s="126"/>
      <c r="J55" s="127"/>
      <c r="K55" s="127"/>
    </row>
    <row r="56">
      <c r="A56" s="121"/>
      <c r="B56" s="122"/>
      <c r="D56" s="123"/>
      <c r="E56" s="124"/>
      <c r="F56" s="125"/>
      <c r="G56" s="125"/>
      <c r="I56" s="126"/>
      <c r="J56" s="127"/>
      <c r="K56" s="127"/>
    </row>
    <row r="57">
      <c r="A57" s="121"/>
      <c r="B57" s="122"/>
      <c r="D57" s="123"/>
      <c r="E57" s="124"/>
      <c r="F57" s="125"/>
      <c r="G57" s="125"/>
      <c r="I57" s="126"/>
      <c r="J57" s="127"/>
      <c r="K57" s="127"/>
    </row>
    <row r="58">
      <c r="A58" s="121"/>
      <c r="B58" s="122"/>
      <c r="D58" s="123"/>
      <c r="E58" s="124"/>
      <c r="F58" s="125"/>
      <c r="G58" s="125"/>
      <c r="I58" s="126"/>
      <c r="J58" s="127"/>
      <c r="K58" s="127"/>
    </row>
    <row r="59">
      <c r="A59" s="121"/>
      <c r="B59" s="122"/>
      <c r="D59" s="123"/>
      <c r="E59" s="124"/>
      <c r="F59" s="125"/>
      <c r="G59" s="125"/>
      <c r="I59" s="126"/>
      <c r="J59" s="127"/>
      <c r="K59" s="127"/>
    </row>
    <row r="60">
      <c r="A60" s="121"/>
      <c r="B60" s="122"/>
      <c r="D60" s="123"/>
      <c r="E60" s="124"/>
      <c r="F60" s="125"/>
      <c r="G60" s="125"/>
      <c r="I60" s="126"/>
      <c r="J60" s="127"/>
      <c r="K60" s="127"/>
    </row>
    <row r="61">
      <c r="A61" s="121"/>
      <c r="B61" s="122"/>
      <c r="D61" s="123"/>
      <c r="E61" s="124"/>
      <c r="F61" s="125"/>
      <c r="G61" s="125"/>
      <c r="I61" s="126"/>
      <c r="J61" s="127"/>
      <c r="K61" s="127"/>
    </row>
    <row r="62">
      <c r="A62" s="121"/>
      <c r="B62" s="122"/>
      <c r="D62" s="123"/>
      <c r="E62" s="124"/>
      <c r="F62" s="125"/>
      <c r="G62" s="125"/>
      <c r="I62" s="126"/>
      <c r="J62" s="127"/>
      <c r="K62" s="127"/>
    </row>
    <row r="63">
      <c r="A63" s="121"/>
      <c r="B63" s="122"/>
      <c r="D63" s="123"/>
      <c r="E63" s="124"/>
      <c r="F63" s="125"/>
      <c r="G63" s="125"/>
      <c r="I63" s="126"/>
      <c r="J63" s="127"/>
      <c r="K63" s="127"/>
    </row>
    <row r="64">
      <c r="A64" s="121"/>
      <c r="B64" s="122"/>
      <c r="D64" s="123"/>
      <c r="E64" s="124"/>
      <c r="F64" s="125"/>
      <c r="G64" s="125"/>
      <c r="I64" s="126"/>
      <c r="J64" s="127"/>
      <c r="K64" s="127"/>
    </row>
    <row r="65">
      <c r="A65" s="121"/>
      <c r="B65" s="122"/>
      <c r="D65" s="123"/>
      <c r="E65" s="124"/>
      <c r="F65" s="125"/>
      <c r="G65" s="125"/>
      <c r="I65" s="126"/>
      <c r="J65" s="127"/>
      <c r="K65" s="127"/>
    </row>
    <row r="66">
      <c r="A66" s="121"/>
      <c r="B66" s="122"/>
      <c r="D66" s="123"/>
      <c r="E66" s="124"/>
      <c r="F66" s="125"/>
      <c r="G66" s="125"/>
      <c r="I66" s="126"/>
      <c r="J66" s="127"/>
      <c r="K66" s="127"/>
    </row>
    <row r="67">
      <c r="A67" s="121"/>
      <c r="B67" s="122"/>
      <c r="D67" s="123"/>
      <c r="E67" s="124"/>
      <c r="F67" s="125"/>
      <c r="G67" s="125"/>
      <c r="I67" s="126"/>
      <c r="J67" s="127"/>
      <c r="K67" s="127"/>
    </row>
    <row r="68">
      <c r="A68" s="121"/>
      <c r="B68" s="122"/>
      <c r="D68" s="123"/>
      <c r="E68" s="124"/>
      <c r="F68" s="125"/>
      <c r="G68" s="125"/>
      <c r="I68" s="126"/>
      <c r="J68" s="127"/>
      <c r="K68" s="127"/>
    </row>
    <row r="69">
      <c r="A69" s="121"/>
      <c r="B69" s="122"/>
      <c r="D69" s="123"/>
      <c r="E69" s="124"/>
      <c r="F69" s="125"/>
      <c r="G69" s="125"/>
      <c r="I69" s="126"/>
      <c r="J69" s="127"/>
      <c r="K69" s="127"/>
    </row>
    <row r="70">
      <c r="A70" s="121"/>
      <c r="B70" s="122"/>
      <c r="D70" s="123"/>
      <c r="E70" s="124"/>
      <c r="F70" s="125"/>
      <c r="G70" s="125"/>
      <c r="I70" s="126"/>
      <c r="J70" s="127"/>
      <c r="K70" s="127"/>
    </row>
    <row r="71">
      <c r="A71" s="121"/>
      <c r="B71" s="122"/>
      <c r="D71" s="123"/>
      <c r="E71" s="124"/>
      <c r="F71" s="125"/>
      <c r="G71" s="125"/>
      <c r="I71" s="126"/>
      <c r="J71" s="127"/>
      <c r="K71" s="127"/>
    </row>
    <row r="72">
      <c r="A72" s="121"/>
      <c r="B72" s="122"/>
      <c r="D72" s="123"/>
      <c r="E72" s="124"/>
      <c r="F72" s="125"/>
      <c r="G72" s="125"/>
      <c r="I72" s="126"/>
      <c r="J72" s="127"/>
      <c r="K72" s="127"/>
    </row>
    <row r="73">
      <c r="A73" s="121"/>
      <c r="B73" s="122"/>
      <c r="D73" s="123"/>
      <c r="E73" s="124"/>
      <c r="F73" s="125"/>
      <c r="G73" s="125"/>
      <c r="I73" s="126"/>
      <c r="J73" s="127"/>
      <c r="K73" s="127"/>
    </row>
    <row r="74">
      <c r="A74" s="121"/>
      <c r="B74" s="122"/>
      <c r="D74" s="123"/>
      <c r="E74" s="124"/>
      <c r="F74" s="125"/>
      <c r="G74" s="125"/>
      <c r="I74" s="126"/>
      <c r="J74" s="127"/>
      <c r="K74" s="127"/>
    </row>
    <row r="75">
      <c r="A75" s="121"/>
      <c r="B75" s="122"/>
      <c r="D75" s="123"/>
      <c r="E75" s="124"/>
      <c r="F75" s="125"/>
      <c r="G75" s="125"/>
      <c r="I75" s="126"/>
      <c r="J75" s="127"/>
      <c r="K75" s="127"/>
    </row>
    <row r="76">
      <c r="A76" s="121"/>
      <c r="B76" s="122"/>
      <c r="D76" s="123"/>
      <c r="E76" s="124"/>
      <c r="F76" s="125"/>
      <c r="G76" s="125"/>
      <c r="I76" s="126"/>
      <c r="J76" s="127"/>
      <c r="K76" s="127"/>
    </row>
    <row r="77">
      <c r="A77" s="121"/>
      <c r="B77" s="122"/>
      <c r="D77" s="123"/>
      <c r="E77" s="124"/>
      <c r="F77" s="125"/>
      <c r="G77" s="125"/>
      <c r="I77" s="126"/>
      <c r="J77" s="127"/>
      <c r="K77" s="127"/>
    </row>
    <row r="78">
      <c r="A78" s="121"/>
      <c r="B78" s="122"/>
      <c r="D78" s="123"/>
      <c r="E78" s="124"/>
      <c r="F78" s="125"/>
      <c r="G78" s="125"/>
      <c r="I78" s="126"/>
      <c r="J78" s="127"/>
      <c r="K78" s="127"/>
    </row>
    <row r="79">
      <c r="A79" s="121"/>
      <c r="B79" s="122"/>
      <c r="D79" s="123"/>
      <c r="E79" s="124"/>
      <c r="F79" s="125"/>
      <c r="G79" s="125"/>
      <c r="I79" s="126"/>
      <c r="J79" s="127"/>
      <c r="K79" s="127"/>
    </row>
    <row r="80">
      <c r="A80" s="121"/>
      <c r="B80" s="122"/>
      <c r="D80" s="123"/>
      <c r="E80" s="124"/>
      <c r="F80" s="125"/>
      <c r="G80" s="125"/>
      <c r="I80" s="126"/>
      <c r="J80" s="127"/>
      <c r="K80" s="127"/>
    </row>
    <row r="81">
      <c r="A81" s="121"/>
      <c r="B81" s="122"/>
      <c r="D81" s="123"/>
      <c r="E81" s="124"/>
      <c r="F81" s="125"/>
      <c r="G81" s="125"/>
      <c r="I81" s="126"/>
      <c r="J81" s="127"/>
      <c r="K81" s="127"/>
    </row>
    <row r="82">
      <c r="A82" s="121"/>
      <c r="B82" s="122"/>
      <c r="D82" s="123"/>
      <c r="E82" s="124"/>
      <c r="F82" s="125"/>
      <c r="G82" s="125"/>
      <c r="I82" s="126"/>
      <c r="J82" s="127"/>
      <c r="K82" s="127"/>
    </row>
    <row r="83">
      <c r="A83" s="121"/>
      <c r="B83" s="122"/>
      <c r="D83" s="123"/>
      <c r="E83" s="124"/>
      <c r="F83" s="125"/>
      <c r="G83" s="125"/>
      <c r="I83" s="126"/>
      <c r="J83" s="127"/>
      <c r="K83" s="127"/>
    </row>
    <row r="84">
      <c r="A84" s="121"/>
      <c r="B84" s="122"/>
      <c r="D84" s="123"/>
      <c r="E84" s="124"/>
      <c r="F84" s="125"/>
      <c r="G84" s="125"/>
      <c r="I84" s="126"/>
      <c r="J84" s="127"/>
      <c r="K84" s="127"/>
    </row>
    <row r="85">
      <c r="A85" s="121"/>
      <c r="B85" s="122"/>
      <c r="D85" s="123"/>
      <c r="E85" s="124"/>
      <c r="F85" s="125"/>
      <c r="G85" s="125"/>
      <c r="I85" s="126"/>
      <c r="J85" s="127"/>
      <c r="K85" s="127"/>
    </row>
    <row r="86">
      <c r="A86" s="121"/>
      <c r="B86" s="122"/>
      <c r="D86" s="123"/>
      <c r="E86" s="124"/>
      <c r="F86" s="125"/>
      <c r="G86" s="125"/>
      <c r="I86" s="126"/>
      <c r="J86" s="127"/>
      <c r="K86" s="127"/>
    </row>
    <row r="87">
      <c r="A87" s="121"/>
      <c r="B87" s="122"/>
      <c r="D87" s="123"/>
      <c r="E87" s="124"/>
      <c r="F87" s="125"/>
      <c r="G87" s="125"/>
      <c r="I87" s="126"/>
      <c r="J87" s="127"/>
      <c r="K87" s="127"/>
    </row>
    <row r="88">
      <c r="A88" s="121"/>
      <c r="B88" s="122"/>
      <c r="D88" s="123"/>
      <c r="E88" s="124"/>
      <c r="F88" s="125"/>
      <c r="G88" s="125"/>
      <c r="I88" s="126"/>
      <c r="J88" s="127"/>
      <c r="K88" s="127"/>
    </row>
    <row r="89">
      <c r="A89" s="121"/>
      <c r="B89" s="122"/>
      <c r="D89" s="123"/>
      <c r="E89" s="124"/>
      <c r="F89" s="125"/>
      <c r="G89" s="125"/>
      <c r="I89" s="126"/>
      <c r="J89" s="127"/>
      <c r="K89" s="127"/>
    </row>
    <row r="90">
      <c r="A90" s="121"/>
      <c r="B90" s="122"/>
      <c r="D90" s="123"/>
      <c r="E90" s="124"/>
      <c r="F90" s="125"/>
      <c r="G90" s="125"/>
      <c r="I90" s="126"/>
      <c r="J90" s="127"/>
      <c r="K90" s="127"/>
    </row>
    <row r="91">
      <c r="A91" s="121"/>
      <c r="B91" s="122"/>
      <c r="D91" s="123"/>
      <c r="E91" s="124"/>
      <c r="F91" s="125"/>
      <c r="G91" s="125"/>
      <c r="I91" s="126"/>
      <c r="J91" s="127"/>
      <c r="K91" s="127"/>
    </row>
    <row r="92">
      <c r="A92" s="121"/>
      <c r="B92" s="122"/>
      <c r="D92" s="123"/>
      <c r="E92" s="124"/>
      <c r="F92" s="125"/>
      <c r="G92" s="125"/>
      <c r="I92" s="126"/>
      <c r="J92" s="127"/>
      <c r="K92" s="127"/>
    </row>
    <row r="93">
      <c r="A93" s="121"/>
      <c r="B93" s="122"/>
      <c r="D93" s="123"/>
      <c r="E93" s="124"/>
      <c r="F93" s="125"/>
      <c r="G93" s="125"/>
      <c r="I93" s="126"/>
      <c r="J93" s="127"/>
      <c r="K93" s="127"/>
    </row>
    <row r="94">
      <c r="A94" s="121"/>
      <c r="B94" s="122"/>
      <c r="D94" s="123"/>
      <c r="E94" s="124"/>
      <c r="F94" s="125"/>
      <c r="G94" s="125"/>
      <c r="I94" s="126"/>
      <c r="J94" s="127"/>
      <c r="K94" s="127"/>
    </row>
    <row r="95">
      <c r="A95" s="121"/>
      <c r="B95" s="122"/>
      <c r="D95" s="123"/>
      <c r="E95" s="124"/>
      <c r="F95" s="125"/>
      <c r="G95" s="125"/>
      <c r="I95" s="126"/>
      <c r="J95" s="127"/>
      <c r="K95" s="127"/>
    </row>
    <row r="96">
      <c r="A96" s="121"/>
      <c r="B96" s="122"/>
      <c r="D96" s="123"/>
      <c r="E96" s="124"/>
      <c r="F96" s="125"/>
      <c r="G96" s="125"/>
      <c r="I96" s="126"/>
      <c r="J96" s="127"/>
      <c r="K96" s="127"/>
    </row>
    <row r="97">
      <c r="A97" s="121"/>
      <c r="B97" s="122"/>
      <c r="D97" s="123"/>
      <c r="E97" s="124"/>
      <c r="F97" s="125"/>
      <c r="G97" s="125"/>
      <c r="I97" s="126"/>
      <c r="J97" s="127"/>
      <c r="K97" s="127"/>
    </row>
    <row r="98">
      <c r="A98" s="121"/>
      <c r="B98" s="122"/>
      <c r="D98" s="123"/>
      <c r="E98" s="124"/>
      <c r="F98" s="125"/>
      <c r="G98" s="125"/>
      <c r="I98" s="126"/>
      <c r="J98" s="127"/>
      <c r="K98" s="127"/>
    </row>
    <row r="99">
      <c r="A99" s="121"/>
      <c r="B99" s="122"/>
      <c r="D99" s="123"/>
      <c r="E99" s="124"/>
      <c r="F99" s="125"/>
      <c r="G99" s="125"/>
      <c r="I99" s="126"/>
      <c r="J99" s="127"/>
      <c r="K99" s="127"/>
    </row>
    <row r="100">
      <c r="A100" s="121"/>
      <c r="B100" s="122"/>
      <c r="D100" s="123"/>
      <c r="E100" s="124"/>
      <c r="F100" s="125"/>
      <c r="G100" s="125"/>
      <c r="I100" s="126"/>
      <c r="J100" s="127"/>
      <c r="K100" s="127"/>
    </row>
    <row r="101">
      <c r="A101" s="121"/>
      <c r="B101" s="122"/>
      <c r="D101" s="123"/>
      <c r="E101" s="124"/>
      <c r="F101" s="125"/>
      <c r="G101" s="125"/>
      <c r="I101" s="126"/>
      <c r="J101" s="127"/>
      <c r="K101" s="127"/>
    </row>
    <row r="102">
      <c r="A102" s="121"/>
      <c r="B102" s="122"/>
      <c r="D102" s="123"/>
      <c r="E102" s="124"/>
      <c r="F102" s="125"/>
      <c r="G102" s="125"/>
      <c r="I102" s="126"/>
      <c r="J102" s="127"/>
      <c r="K102" s="127"/>
    </row>
    <row r="103">
      <c r="A103" s="121"/>
      <c r="B103" s="122"/>
      <c r="D103" s="123"/>
      <c r="E103" s="124"/>
      <c r="F103" s="125"/>
      <c r="G103" s="125"/>
      <c r="I103" s="126"/>
      <c r="J103" s="127"/>
      <c r="K103" s="127"/>
    </row>
    <row r="104">
      <c r="A104" s="121"/>
      <c r="B104" s="122"/>
      <c r="D104" s="123"/>
      <c r="E104" s="124"/>
      <c r="F104" s="125"/>
      <c r="G104" s="125"/>
      <c r="I104" s="126"/>
      <c r="J104" s="127"/>
      <c r="K104" s="127"/>
    </row>
    <row r="105">
      <c r="A105" s="121"/>
      <c r="B105" s="122"/>
      <c r="D105" s="123"/>
      <c r="E105" s="124"/>
      <c r="F105" s="125"/>
      <c r="G105" s="125"/>
      <c r="I105" s="126"/>
      <c r="J105" s="127"/>
      <c r="K105" s="127"/>
    </row>
    <row r="106">
      <c r="A106" s="121"/>
      <c r="B106" s="122"/>
      <c r="D106" s="123"/>
      <c r="E106" s="124"/>
      <c r="F106" s="125"/>
      <c r="G106" s="125"/>
      <c r="I106" s="126"/>
      <c r="J106" s="127"/>
      <c r="K106" s="127"/>
    </row>
    <row r="107">
      <c r="A107" s="121"/>
      <c r="B107" s="122"/>
      <c r="D107" s="123"/>
      <c r="E107" s="124"/>
      <c r="F107" s="125"/>
      <c r="G107" s="125"/>
      <c r="I107" s="126"/>
      <c r="J107" s="127"/>
      <c r="K107" s="127"/>
    </row>
    <row r="108">
      <c r="A108" s="121"/>
      <c r="B108" s="122"/>
      <c r="D108" s="123"/>
      <c r="E108" s="124"/>
      <c r="F108" s="125"/>
      <c r="G108" s="125"/>
      <c r="I108" s="126"/>
      <c r="J108" s="127"/>
      <c r="K108" s="127"/>
    </row>
    <row r="109">
      <c r="A109" s="121"/>
      <c r="B109" s="122"/>
      <c r="D109" s="123"/>
      <c r="E109" s="124"/>
      <c r="F109" s="125"/>
      <c r="G109" s="125"/>
      <c r="I109" s="126"/>
      <c r="J109" s="127"/>
      <c r="K109" s="127"/>
    </row>
    <row r="110">
      <c r="A110" s="121"/>
      <c r="B110" s="122"/>
      <c r="D110" s="123"/>
      <c r="E110" s="124"/>
      <c r="F110" s="125"/>
      <c r="G110" s="125"/>
      <c r="I110" s="126"/>
      <c r="J110" s="127"/>
      <c r="K110" s="127"/>
    </row>
    <row r="111">
      <c r="A111" s="121"/>
      <c r="B111" s="122"/>
      <c r="D111" s="123"/>
      <c r="E111" s="124"/>
      <c r="F111" s="125"/>
      <c r="G111" s="125"/>
      <c r="I111" s="126"/>
      <c r="J111" s="127"/>
      <c r="K111" s="127"/>
    </row>
    <row r="112">
      <c r="A112" s="121"/>
      <c r="B112" s="122"/>
      <c r="D112" s="123"/>
      <c r="E112" s="124"/>
      <c r="F112" s="125"/>
      <c r="G112" s="125"/>
      <c r="I112" s="126"/>
      <c r="J112" s="127"/>
      <c r="K112" s="127"/>
    </row>
    <row r="113">
      <c r="A113" s="121"/>
      <c r="B113" s="122"/>
      <c r="D113" s="123"/>
      <c r="E113" s="124"/>
      <c r="F113" s="125"/>
      <c r="G113" s="125"/>
      <c r="I113" s="126"/>
      <c r="J113" s="127"/>
      <c r="K113" s="127"/>
    </row>
    <row r="114">
      <c r="A114" s="121"/>
      <c r="B114" s="122"/>
      <c r="D114" s="123"/>
      <c r="E114" s="124"/>
      <c r="F114" s="125"/>
      <c r="G114" s="125"/>
      <c r="I114" s="126"/>
      <c r="J114" s="127"/>
      <c r="K114" s="127"/>
    </row>
    <row r="115">
      <c r="A115" s="121"/>
      <c r="B115" s="122"/>
      <c r="D115" s="123"/>
      <c r="E115" s="124"/>
      <c r="F115" s="125"/>
      <c r="G115" s="125"/>
      <c r="I115" s="126"/>
      <c r="J115" s="127"/>
      <c r="K115" s="127"/>
    </row>
    <row r="116">
      <c r="A116" s="121"/>
      <c r="B116" s="122"/>
      <c r="D116" s="123"/>
      <c r="E116" s="124"/>
      <c r="F116" s="125"/>
      <c r="G116" s="125"/>
      <c r="I116" s="126"/>
      <c r="J116" s="127"/>
      <c r="K116" s="127"/>
    </row>
    <row r="117">
      <c r="A117" s="121"/>
      <c r="B117" s="122"/>
      <c r="D117" s="123"/>
      <c r="E117" s="124"/>
      <c r="F117" s="125"/>
      <c r="G117" s="125"/>
      <c r="I117" s="126"/>
      <c r="J117" s="127"/>
      <c r="K117" s="127"/>
    </row>
    <row r="118">
      <c r="A118" s="121"/>
      <c r="B118" s="122"/>
      <c r="D118" s="123"/>
      <c r="E118" s="124"/>
      <c r="F118" s="125"/>
      <c r="G118" s="125"/>
      <c r="I118" s="126"/>
      <c r="J118" s="127"/>
      <c r="K118" s="127"/>
    </row>
    <row r="119">
      <c r="A119" s="121"/>
      <c r="B119" s="122"/>
      <c r="D119" s="123"/>
      <c r="E119" s="124"/>
      <c r="F119" s="125"/>
      <c r="G119" s="125"/>
      <c r="I119" s="126"/>
      <c r="J119" s="127"/>
      <c r="K119" s="127"/>
    </row>
    <row r="120">
      <c r="A120" s="121"/>
      <c r="B120" s="122"/>
      <c r="D120" s="123"/>
      <c r="E120" s="124"/>
      <c r="F120" s="125"/>
      <c r="G120" s="125"/>
      <c r="I120" s="126"/>
      <c r="J120" s="127"/>
      <c r="K120" s="127"/>
    </row>
    <row r="121">
      <c r="A121" s="121"/>
      <c r="B121" s="122"/>
      <c r="D121" s="123"/>
      <c r="E121" s="124"/>
      <c r="F121" s="125"/>
      <c r="G121" s="125"/>
      <c r="I121" s="126"/>
      <c r="J121" s="127"/>
      <c r="K121" s="127"/>
    </row>
    <row r="122">
      <c r="A122" s="121"/>
      <c r="B122" s="122"/>
      <c r="D122" s="123"/>
      <c r="E122" s="124"/>
      <c r="F122" s="125"/>
      <c r="G122" s="125"/>
      <c r="I122" s="126"/>
      <c r="J122" s="127"/>
      <c r="K122" s="127"/>
    </row>
    <row r="123">
      <c r="A123" s="121"/>
      <c r="B123" s="122"/>
      <c r="D123" s="123"/>
      <c r="E123" s="124"/>
      <c r="F123" s="125"/>
      <c r="G123" s="125"/>
      <c r="I123" s="126"/>
      <c r="J123" s="127"/>
      <c r="K123" s="127"/>
    </row>
    <row r="124">
      <c r="A124" s="121"/>
      <c r="B124" s="122"/>
      <c r="D124" s="123"/>
      <c r="E124" s="124"/>
      <c r="F124" s="125"/>
      <c r="G124" s="125"/>
      <c r="I124" s="126"/>
      <c r="J124" s="127"/>
      <c r="K124" s="127"/>
    </row>
    <row r="125">
      <c r="A125" s="121"/>
      <c r="B125" s="122"/>
      <c r="D125" s="123"/>
      <c r="E125" s="124"/>
      <c r="F125" s="125"/>
      <c r="G125" s="125"/>
      <c r="I125" s="126"/>
      <c r="J125" s="127"/>
      <c r="K125" s="127"/>
    </row>
    <row r="126">
      <c r="A126" s="121"/>
      <c r="B126" s="122"/>
      <c r="D126" s="123"/>
      <c r="E126" s="124"/>
      <c r="F126" s="125"/>
      <c r="G126" s="125"/>
      <c r="I126" s="126"/>
      <c r="J126" s="127"/>
      <c r="K126" s="127"/>
    </row>
    <row r="127">
      <c r="A127" s="121"/>
      <c r="B127" s="122"/>
      <c r="D127" s="123"/>
      <c r="E127" s="124"/>
      <c r="F127" s="125"/>
      <c r="G127" s="125"/>
      <c r="I127" s="126"/>
      <c r="J127" s="127"/>
      <c r="K127" s="127"/>
    </row>
    <row r="128">
      <c r="A128" s="121"/>
      <c r="B128" s="122"/>
      <c r="D128" s="123"/>
      <c r="E128" s="124"/>
      <c r="F128" s="125"/>
      <c r="G128" s="125"/>
      <c r="I128" s="126"/>
      <c r="J128" s="127"/>
      <c r="K128" s="127"/>
    </row>
    <row r="129">
      <c r="A129" s="121"/>
      <c r="B129" s="122"/>
      <c r="D129" s="123"/>
      <c r="E129" s="124"/>
      <c r="F129" s="125"/>
      <c r="G129" s="125"/>
      <c r="I129" s="126"/>
      <c r="J129" s="127"/>
      <c r="K129" s="127"/>
    </row>
    <row r="130">
      <c r="A130" s="121"/>
      <c r="B130" s="122"/>
      <c r="D130" s="123"/>
      <c r="E130" s="124"/>
      <c r="F130" s="125"/>
      <c r="G130" s="125"/>
      <c r="I130" s="126"/>
      <c r="J130" s="127"/>
      <c r="K130" s="127"/>
    </row>
    <row r="131">
      <c r="A131" s="121"/>
      <c r="B131" s="122"/>
      <c r="D131" s="123"/>
      <c r="E131" s="124"/>
      <c r="F131" s="125"/>
      <c r="G131" s="125"/>
      <c r="I131" s="126"/>
      <c r="J131" s="127"/>
      <c r="K131" s="127"/>
    </row>
    <row r="132">
      <c r="A132" s="121"/>
      <c r="B132" s="122"/>
      <c r="D132" s="123"/>
      <c r="E132" s="124"/>
      <c r="F132" s="125"/>
      <c r="G132" s="125"/>
      <c r="I132" s="126"/>
      <c r="J132" s="127"/>
      <c r="K132" s="127"/>
    </row>
    <row r="133">
      <c r="A133" s="121"/>
      <c r="B133" s="122"/>
      <c r="D133" s="123"/>
      <c r="E133" s="124"/>
      <c r="F133" s="125"/>
      <c r="G133" s="125"/>
      <c r="I133" s="126"/>
      <c r="J133" s="127"/>
      <c r="K133" s="127"/>
    </row>
    <row r="134">
      <c r="A134" s="121"/>
      <c r="B134" s="122"/>
      <c r="D134" s="123"/>
      <c r="E134" s="124"/>
      <c r="F134" s="125"/>
      <c r="G134" s="125"/>
      <c r="I134" s="126"/>
      <c r="J134" s="127"/>
      <c r="K134" s="127"/>
    </row>
    <row r="135">
      <c r="A135" s="121"/>
      <c r="B135" s="122"/>
      <c r="D135" s="123"/>
      <c r="E135" s="124"/>
      <c r="F135" s="125"/>
      <c r="G135" s="125"/>
      <c r="I135" s="126"/>
      <c r="J135" s="127"/>
      <c r="K135" s="127"/>
    </row>
    <row r="136">
      <c r="A136" s="121"/>
      <c r="B136" s="122"/>
      <c r="D136" s="123"/>
      <c r="E136" s="124"/>
      <c r="F136" s="125"/>
      <c r="G136" s="125"/>
      <c r="I136" s="126"/>
      <c r="J136" s="127"/>
      <c r="K136" s="127"/>
    </row>
    <row r="137">
      <c r="A137" s="121"/>
      <c r="B137" s="122"/>
      <c r="D137" s="123"/>
      <c r="E137" s="124"/>
      <c r="F137" s="125"/>
      <c r="G137" s="125"/>
      <c r="I137" s="126"/>
      <c r="J137" s="127"/>
      <c r="K137" s="127"/>
    </row>
    <row r="138">
      <c r="A138" s="121"/>
      <c r="B138" s="122"/>
      <c r="D138" s="123"/>
      <c r="E138" s="124"/>
      <c r="F138" s="125"/>
      <c r="G138" s="125"/>
      <c r="I138" s="126"/>
      <c r="J138" s="127"/>
      <c r="K138" s="127"/>
    </row>
    <row r="139">
      <c r="A139" s="121"/>
      <c r="B139" s="122"/>
      <c r="D139" s="123"/>
      <c r="E139" s="124"/>
      <c r="F139" s="125"/>
      <c r="G139" s="125"/>
      <c r="I139" s="126"/>
      <c r="J139" s="127"/>
      <c r="K139" s="127"/>
    </row>
    <row r="140">
      <c r="A140" s="121"/>
      <c r="B140" s="122"/>
      <c r="D140" s="123"/>
      <c r="E140" s="124"/>
      <c r="F140" s="125"/>
      <c r="G140" s="125"/>
      <c r="I140" s="126"/>
      <c r="J140" s="127"/>
      <c r="K140" s="127"/>
    </row>
    <row r="141">
      <c r="A141" s="121"/>
      <c r="B141" s="122"/>
      <c r="D141" s="123"/>
      <c r="E141" s="124"/>
      <c r="F141" s="125"/>
      <c r="G141" s="125"/>
      <c r="I141" s="126"/>
      <c r="J141" s="127"/>
      <c r="K141" s="127"/>
    </row>
    <row r="142">
      <c r="A142" s="121"/>
      <c r="B142" s="122"/>
      <c r="D142" s="123"/>
      <c r="E142" s="124"/>
      <c r="F142" s="125"/>
      <c r="G142" s="125"/>
      <c r="I142" s="126"/>
      <c r="J142" s="127"/>
      <c r="K142" s="127"/>
    </row>
    <row r="143">
      <c r="A143" s="121"/>
      <c r="B143" s="122"/>
      <c r="D143" s="123"/>
      <c r="E143" s="124"/>
      <c r="F143" s="125"/>
      <c r="G143" s="125"/>
      <c r="I143" s="126"/>
      <c r="J143" s="127"/>
      <c r="K143" s="127"/>
    </row>
    <row r="144">
      <c r="A144" s="121"/>
      <c r="B144" s="122"/>
      <c r="D144" s="123"/>
      <c r="E144" s="124"/>
      <c r="F144" s="125"/>
      <c r="G144" s="125"/>
      <c r="I144" s="126"/>
      <c r="J144" s="127"/>
      <c r="K144" s="127"/>
    </row>
    <row r="145">
      <c r="A145" s="121"/>
      <c r="B145" s="122"/>
      <c r="D145" s="123"/>
      <c r="E145" s="124"/>
      <c r="F145" s="125"/>
      <c r="G145" s="125"/>
      <c r="I145" s="126"/>
      <c r="J145" s="127"/>
      <c r="K145" s="127"/>
    </row>
    <row r="146">
      <c r="A146" s="121"/>
      <c r="B146" s="122"/>
      <c r="D146" s="123"/>
      <c r="E146" s="124"/>
      <c r="F146" s="125"/>
      <c r="G146" s="125"/>
      <c r="I146" s="126"/>
      <c r="J146" s="127"/>
      <c r="K146" s="127"/>
    </row>
    <row r="147">
      <c r="A147" s="121"/>
      <c r="B147" s="122"/>
      <c r="D147" s="123"/>
      <c r="E147" s="124"/>
      <c r="F147" s="125"/>
      <c r="G147" s="125"/>
      <c r="I147" s="126"/>
      <c r="J147" s="127"/>
      <c r="K147" s="127"/>
    </row>
    <row r="148">
      <c r="A148" s="121"/>
      <c r="B148" s="122"/>
      <c r="D148" s="123"/>
      <c r="E148" s="124"/>
      <c r="F148" s="125"/>
      <c r="G148" s="125"/>
      <c r="I148" s="126"/>
      <c r="J148" s="127"/>
      <c r="K148" s="127"/>
    </row>
    <row r="149">
      <c r="A149" s="121"/>
      <c r="B149" s="122"/>
      <c r="D149" s="123"/>
      <c r="E149" s="124"/>
      <c r="F149" s="125"/>
      <c r="G149" s="125"/>
      <c r="I149" s="126"/>
      <c r="J149" s="127"/>
      <c r="K149" s="127"/>
    </row>
    <row r="150">
      <c r="A150" s="121"/>
      <c r="B150" s="122"/>
      <c r="D150" s="123"/>
      <c r="E150" s="124"/>
      <c r="F150" s="125"/>
      <c r="G150" s="125"/>
      <c r="I150" s="126"/>
      <c r="J150" s="127"/>
      <c r="K150" s="127"/>
    </row>
    <row r="151">
      <c r="A151" s="121"/>
      <c r="B151" s="122"/>
      <c r="D151" s="123"/>
      <c r="E151" s="124"/>
      <c r="F151" s="125"/>
      <c r="G151" s="125"/>
      <c r="I151" s="126"/>
      <c r="J151" s="127"/>
      <c r="K151" s="127"/>
    </row>
    <row r="152">
      <c r="A152" s="121"/>
      <c r="B152" s="122"/>
      <c r="D152" s="123"/>
      <c r="E152" s="124"/>
      <c r="F152" s="125"/>
      <c r="G152" s="125"/>
      <c r="I152" s="126"/>
      <c r="J152" s="127"/>
      <c r="K152" s="127"/>
    </row>
    <row r="153">
      <c r="A153" s="121"/>
      <c r="B153" s="122"/>
      <c r="D153" s="123"/>
      <c r="E153" s="124"/>
      <c r="F153" s="125"/>
      <c r="G153" s="125"/>
      <c r="I153" s="126"/>
      <c r="J153" s="127"/>
      <c r="K153" s="127"/>
    </row>
    <row r="154">
      <c r="A154" s="121"/>
      <c r="B154" s="122"/>
      <c r="D154" s="123"/>
      <c r="E154" s="124"/>
      <c r="F154" s="125"/>
      <c r="G154" s="125"/>
      <c r="I154" s="126"/>
      <c r="J154" s="127"/>
      <c r="K154" s="127"/>
    </row>
    <row r="155">
      <c r="A155" s="121"/>
      <c r="B155" s="122"/>
      <c r="D155" s="123"/>
      <c r="E155" s="124"/>
      <c r="F155" s="125"/>
      <c r="G155" s="125"/>
      <c r="I155" s="126"/>
      <c r="J155" s="127"/>
      <c r="K155" s="127"/>
    </row>
    <row r="156">
      <c r="A156" s="121"/>
      <c r="B156" s="122"/>
      <c r="D156" s="123"/>
      <c r="E156" s="124"/>
      <c r="F156" s="125"/>
      <c r="G156" s="125"/>
      <c r="I156" s="126"/>
      <c r="J156" s="127"/>
      <c r="K156" s="127"/>
    </row>
    <row r="157">
      <c r="A157" s="121"/>
      <c r="B157" s="122"/>
      <c r="D157" s="123"/>
      <c r="E157" s="124"/>
      <c r="F157" s="125"/>
      <c r="G157" s="125"/>
      <c r="I157" s="126"/>
      <c r="J157" s="127"/>
      <c r="K157" s="127"/>
    </row>
    <row r="158">
      <c r="A158" s="121"/>
      <c r="B158" s="122"/>
      <c r="D158" s="123"/>
      <c r="E158" s="124"/>
      <c r="F158" s="125"/>
      <c r="G158" s="125"/>
      <c r="I158" s="126"/>
      <c r="J158" s="127"/>
      <c r="K158" s="127"/>
    </row>
    <row r="159">
      <c r="A159" s="121"/>
      <c r="B159" s="122"/>
      <c r="D159" s="123"/>
      <c r="E159" s="124"/>
      <c r="F159" s="125"/>
      <c r="G159" s="125"/>
      <c r="I159" s="126"/>
      <c r="J159" s="127"/>
      <c r="K159" s="127"/>
    </row>
    <row r="160">
      <c r="A160" s="121"/>
      <c r="B160" s="122"/>
      <c r="D160" s="123"/>
      <c r="E160" s="124"/>
      <c r="F160" s="125"/>
      <c r="G160" s="125"/>
      <c r="I160" s="126"/>
      <c r="J160" s="127"/>
      <c r="K160" s="127"/>
    </row>
    <row r="161">
      <c r="A161" s="121"/>
      <c r="B161" s="122"/>
      <c r="D161" s="123"/>
      <c r="E161" s="124"/>
      <c r="F161" s="125"/>
      <c r="G161" s="125"/>
      <c r="I161" s="126"/>
      <c r="J161" s="127"/>
      <c r="K161" s="127"/>
    </row>
    <row r="162">
      <c r="A162" s="121"/>
      <c r="B162" s="122"/>
      <c r="D162" s="123"/>
      <c r="E162" s="124"/>
      <c r="F162" s="125"/>
      <c r="G162" s="125"/>
      <c r="I162" s="126"/>
      <c r="J162" s="127"/>
      <c r="K162" s="127"/>
    </row>
    <row r="163">
      <c r="A163" s="121"/>
      <c r="B163" s="122"/>
      <c r="D163" s="123"/>
      <c r="E163" s="124"/>
      <c r="F163" s="125"/>
      <c r="G163" s="125"/>
      <c r="I163" s="126"/>
      <c r="J163" s="127"/>
      <c r="K163" s="127"/>
    </row>
    <row r="164">
      <c r="A164" s="121"/>
      <c r="B164" s="122"/>
      <c r="D164" s="123"/>
      <c r="E164" s="124"/>
      <c r="F164" s="125"/>
      <c r="G164" s="125"/>
      <c r="I164" s="126"/>
      <c r="J164" s="127"/>
      <c r="K164" s="127"/>
    </row>
    <row r="165">
      <c r="A165" s="121"/>
      <c r="B165" s="122"/>
      <c r="D165" s="123"/>
      <c r="E165" s="124"/>
      <c r="F165" s="125"/>
      <c r="G165" s="125"/>
      <c r="I165" s="126"/>
      <c r="J165" s="127"/>
      <c r="K165" s="127"/>
    </row>
    <row r="166">
      <c r="A166" s="121"/>
      <c r="B166" s="122"/>
      <c r="D166" s="123"/>
      <c r="E166" s="124"/>
      <c r="F166" s="125"/>
      <c r="G166" s="125"/>
      <c r="I166" s="126"/>
      <c r="J166" s="127"/>
      <c r="K166" s="127"/>
    </row>
    <row r="167">
      <c r="A167" s="121"/>
      <c r="B167" s="122"/>
      <c r="D167" s="123"/>
      <c r="E167" s="124"/>
      <c r="F167" s="125"/>
      <c r="G167" s="125"/>
      <c r="I167" s="126"/>
      <c r="J167" s="127"/>
      <c r="K167" s="127"/>
    </row>
    <row r="168">
      <c r="A168" s="121"/>
      <c r="B168" s="122"/>
      <c r="D168" s="123"/>
      <c r="E168" s="124"/>
      <c r="F168" s="125"/>
      <c r="G168" s="125"/>
      <c r="I168" s="126"/>
      <c r="J168" s="127"/>
      <c r="K168" s="127"/>
    </row>
    <row r="169">
      <c r="A169" s="121"/>
      <c r="B169" s="122"/>
      <c r="D169" s="123"/>
      <c r="E169" s="124"/>
      <c r="F169" s="125"/>
      <c r="G169" s="125"/>
      <c r="I169" s="126"/>
      <c r="J169" s="127"/>
      <c r="K169" s="127"/>
    </row>
    <row r="170">
      <c r="A170" s="121"/>
      <c r="B170" s="122"/>
      <c r="D170" s="123"/>
      <c r="E170" s="124"/>
      <c r="F170" s="125"/>
      <c r="G170" s="125"/>
      <c r="I170" s="126"/>
      <c r="J170" s="127"/>
      <c r="K170" s="127"/>
    </row>
    <row r="171">
      <c r="A171" s="121"/>
      <c r="B171" s="122"/>
      <c r="D171" s="123"/>
      <c r="E171" s="124"/>
      <c r="F171" s="125"/>
      <c r="G171" s="125"/>
      <c r="I171" s="126"/>
      <c r="J171" s="127"/>
      <c r="K171" s="127"/>
    </row>
    <row r="172">
      <c r="A172" s="121"/>
      <c r="B172" s="122"/>
      <c r="D172" s="123"/>
      <c r="E172" s="124"/>
      <c r="F172" s="125"/>
      <c r="G172" s="125"/>
      <c r="I172" s="126"/>
      <c r="J172" s="127"/>
      <c r="K172" s="127"/>
    </row>
    <row r="173">
      <c r="A173" s="121"/>
      <c r="B173" s="122"/>
      <c r="D173" s="123"/>
      <c r="E173" s="124"/>
      <c r="F173" s="125"/>
      <c r="G173" s="125"/>
      <c r="I173" s="126"/>
      <c r="J173" s="127"/>
      <c r="K173" s="127"/>
    </row>
    <row r="174">
      <c r="A174" s="121"/>
      <c r="B174" s="122"/>
      <c r="D174" s="123"/>
      <c r="E174" s="124"/>
      <c r="F174" s="125"/>
      <c r="G174" s="125"/>
      <c r="I174" s="126"/>
      <c r="J174" s="127"/>
      <c r="K174" s="127"/>
    </row>
    <row r="175">
      <c r="A175" s="121"/>
      <c r="B175" s="122"/>
      <c r="D175" s="123"/>
      <c r="E175" s="124"/>
      <c r="F175" s="125"/>
      <c r="G175" s="125"/>
      <c r="I175" s="126"/>
      <c r="J175" s="127"/>
      <c r="K175" s="127"/>
    </row>
    <row r="176">
      <c r="A176" s="121"/>
      <c r="B176" s="122"/>
      <c r="D176" s="123"/>
      <c r="E176" s="124"/>
      <c r="F176" s="125"/>
      <c r="G176" s="125"/>
      <c r="I176" s="126"/>
      <c r="J176" s="127"/>
      <c r="K176" s="127"/>
    </row>
    <row r="177">
      <c r="A177" s="121"/>
      <c r="B177" s="122"/>
      <c r="D177" s="123"/>
      <c r="E177" s="124"/>
      <c r="F177" s="125"/>
      <c r="G177" s="125"/>
      <c r="I177" s="126"/>
      <c r="J177" s="127"/>
      <c r="K177" s="127"/>
    </row>
    <row r="178">
      <c r="A178" s="121"/>
      <c r="B178" s="122"/>
      <c r="D178" s="123"/>
      <c r="E178" s="124"/>
      <c r="F178" s="125"/>
      <c r="G178" s="125"/>
      <c r="I178" s="126"/>
      <c r="J178" s="127"/>
      <c r="K178" s="127"/>
    </row>
    <row r="179">
      <c r="A179" s="121"/>
      <c r="B179" s="122"/>
      <c r="D179" s="123"/>
      <c r="E179" s="124"/>
      <c r="F179" s="125"/>
      <c r="G179" s="125"/>
      <c r="I179" s="126"/>
      <c r="J179" s="127"/>
      <c r="K179" s="127"/>
    </row>
    <row r="180">
      <c r="A180" s="121"/>
      <c r="B180" s="122"/>
      <c r="D180" s="123"/>
      <c r="E180" s="124"/>
      <c r="F180" s="125"/>
      <c r="G180" s="125"/>
      <c r="I180" s="126"/>
      <c r="J180" s="127"/>
      <c r="K180" s="127"/>
    </row>
    <row r="181">
      <c r="A181" s="121"/>
      <c r="B181" s="122"/>
      <c r="D181" s="123"/>
      <c r="E181" s="124"/>
      <c r="F181" s="125"/>
      <c r="G181" s="125"/>
      <c r="I181" s="126"/>
      <c r="J181" s="127"/>
      <c r="K181" s="127"/>
    </row>
    <row r="182">
      <c r="A182" s="121"/>
      <c r="B182" s="122"/>
      <c r="D182" s="123"/>
      <c r="E182" s="124"/>
      <c r="F182" s="125"/>
      <c r="G182" s="125"/>
      <c r="I182" s="126"/>
      <c r="J182" s="127"/>
      <c r="K182" s="127"/>
    </row>
    <row r="183">
      <c r="A183" s="121"/>
      <c r="B183" s="122"/>
      <c r="D183" s="123"/>
      <c r="E183" s="124"/>
      <c r="F183" s="125"/>
      <c r="G183" s="125"/>
      <c r="I183" s="126"/>
      <c r="J183" s="127"/>
      <c r="K183" s="127"/>
    </row>
    <row r="184">
      <c r="A184" s="121"/>
      <c r="B184" s="122"/>
      <c r="D184" s="123"/>
      <c r="E184" s="124"/>
      <c r="F184" s="125"/>
      <c r="G184" s="125"/>
      <c r="I184" s="126"/>
      <c r="J184" s="127"/>
      <c r="K184" s="127"/>
    </row>
    <row r="185">
      <c r="A185" s="121"/>
      <c r="B185" s="122"/>
      <c r="D185" s="123"/>
      <c r="E185" s="124"/>
      <c r="F185" s="125"/>
      <c r="G185" s="125"/>
      <c r="I185" s="126"/>
      <c r="J185" s="127"/>
      <c r="K185" s="127"/>
    </row>
    <row r="186">
      <c r="A186" s="121"/>
      <c r="B186" s="122"/>
      <c r="D186" s="123"/>
      <c r="E186" s="124"/>
      <c r="F186" s="125"/>
      <c r="G186" s="125"/>
      <c r="I186" s="126"/>
      <c r="J186" s="127"/>
      <c r="K186" s="127"/>
    </row>
    <row r="187">
      <c r="A187" s="121"/>
      <c r="B187" s="122"/>
      <c r="D187" s="123"/>
      <c r="E187" s="124"/>
      <c r="F187" s="125"/>
      <c r="G187" s="125"/>
      <c r="I187" s="126"/>
      <c r="J187" s="127"/>
      <c r="K187" s="127"/>
    </row>
    <row r="188">
      <c r="A188" s="121"/>
      <c r="B188" s="122"/>
      <c r="D188" s="123"/>
      <c r="E188" s="124"/>
      <c r="F188" s="125"/>
      <c r="G188" s="125"/>
      <c r="I188" s="126"/>
      <c r="J188" s="127"/>
      <c r="K188" s="127"/>
    </row>
    <row r="189">
      <c r="A189" s="121"/>
      <c r="B189" s="122"/>
      <c r="D189" s="123"/>
      <c r="E189" s="124"/>
      <c r="F189" s="125"/>
      <c r="G189" s="125"/>
      <c r="I189" s="126"/>
      <c r="J189" s="127"/>
      <c r="K189" s="127"/>
    </row>
    <row r="190">
      <c r="A190" s="121"/>
      <c r="B190" s="122"/>
      <c r="D190" s="123"/>
      <c r="E190" s="124"/>
      <c r="F190" s="125"/>
      <c r="G190" s="125"/>
      <c r="I190" s="126"/>
      <c r="J190" s="127"/>
      <c r="K190" s="127"/>
    </row>
    <row r="191">
      <c r="A191" s="121"/>
      <c r="B191" s="122"/>
      <c r="D191" s="123"/>
      <c r="E191" s="124"/>
      <c r="F191" s="125"/>
      <c r="G191" s="125"/>
      <c r="I191" s="126"/>
      <c r="J191" s="127"/>
      <c r="K191" s="127"/>
    </row>
    <row r="192">
      <c r="A192" s="121"/>
      <c r="B192" s="122"/>
      <c r="D192" s="123"/>
      <c r="E192" s="124"/>
      <c r="F192" s="125"/>
      <c r="G192" s="125"/>
      <c r="I192" s="126"/>
      <c r="J192" s="127"/>
      <c r="K192" s="127"/>
    </row>
    <row r="193">
      <c r="A193" s="121"/>
      <c r="B193" s="122"/>
      <c r="D193" s="123"/>
      <c r="E193" s="124"/>
      <c r="F193" s="125"/>
      <c r="G193" s="125"/>
      <c r="I193" s="126"/>
      <c r="J193" s="127"/>
      <c r="K193" s="127"/>
    </row>
    <row r="194">
      <c r="A194" s="121"/>
      <c r="B194" s="122"/>
      <c r="D194" s="123"/>
      <c r="E194" s="124"/>
      <c r="F194" s="125"/>
      <c r="G194" s="125"/>
      <c r="I194" s="126"/>
      <c r="J194" s="127"/>
      <c r="K194" s="127"/>
    </row>
    <row r="195">
      <c r="A195" s="121"/>
      <c r="B195" s="122"/>
      <c r="D195" s="123"/>
      <c r="E195" s="124"/>
      <c r="F195" s="125"/>
      <c r="G195" s="125"/>
      <c r="I195" s="126"/>
      <c r="J195" s="127"/>
      <c r="K195" s="127"/>
    </row>
    <row r="196">
      <c r="A196" s="121"/>
      <c r="B196" s="122"/>
      <c r="D196" s="123"/>
      <c r="E196" s="124"/>
      <c r="F196" s="125"/>
      <c r="G196" s="125"/>
      <c r="I196" s="126"/>
      <c r="J196" s="127"/>
      <c r="K196" s="127"/>
    </row>
    <row r="197">
      <c r="A197" s="121"/>
      <c r="B197" s="122"/>
      <c r="D197" s="123"/>
      <c r="E197" s="124"/>
      <c r="F197" s="125"/>
      <c r="G197" s="125"/>
      <c r="I197" s="126"/>
      <c r="J197" s="127"/>
      <c r="K197" s="127"/>
    </row>
    <row r="198">
      <c r="A198" s="121"/>
      <c r="B198" s="122"/>
      <c r="D198" s="123"/>
      <c r="E198" s="124"/>
      <c r="F198" s="125"/>
      <c r="G198" s="125"/>
      <c r="I198" s="126"/>
      <c r="J198" s="127"/>
      <c r="K198" s="127"/>
    </row>
    <row r="199">
      <c r="A199" s="121"/>
      <c r="B199" s="122"/>
      <c r="D199" s="123"/>
      <c r="E199" s="124"/>
      <c r="F199" s="125"/>
      <c r="G199" s="125"/>
      <c r="I199" s="126"/>
      <c r="J199" s="127"/>
      <c r="K199" s="127"/>
    </row>
    <row r="200">
      <c r="A200" s="121"/>
      <c r="B200" s="122"/>
      <c r="D200" s="123"/>
      <c r="E200" s="124"/>
      <c r="F200" s="125"/>
      <c r="G200" s="125"/>
      <c r="I200" s="126"/>
      <c r="J200" s="127"/>
      <c r="K200" s="127"/>
    </row>
    <row r="201">
      <c r="A201" s="121"/>
      <c r="B201" s="122"/>
      <c r="D201" s="123"/>
      <c r="E201" s="124"/>
      <c r="F201" s="125"/>
      <c r="G201" s="125"/>
      <c r="I201" s="126"/>
      <c r="J201" s="127"/>
      <c r="K201" s="127"/>
    </row>
    <row r="202">
      <c r="A202" s="121"/>
      <c r="B202" s="122"/>
      <c r="D202" s="123"/>
      <c r="E202" s="124"/>
      <c r="F202" s="125"/>
      <c r="G202" s="125"/>
      <c r="I202" s="126"/>
      <c r="J202" s="127"/>
      <c r="K202" s="127"/>
    </row>
    <row r="203">
      <c r="A203" s="121"/>
      <c r="B203" s="122"/>
      <c r="D203" s="123"/>
      <c r="E203" s="124"/>
      <c r="F203" s="125"/>
      <c r="G203" s="125"/>
      <c r="I203" s="126"/>
      <c r="J203" s="127"/>
      <c r="K203" s="127"/>
    </row>
    <row r="204">
      <c r="A204" s="121"/>
      <c r="B204" s="122"/>
      <c r="D204" s="123"/>
      <c r="E204" s="124"/>
      <c r="F204" s="125"/>
      <c r="G204" s="125"/>
      <c r="I204" s="126"/>
      <c r="J204" s="127"/>
      <c r="K204" s="127"/>
    </row>
    <row r="205">
      <c r="A205" s="121"/>
      <c r="B205" s="122"/>
      <c r="D205" s="123"/>
      <c r="E205" s="124"/>
      <c r="F205" s="125"/>
      <c r="G205" s="125"/>
      <c r="I205" s="126"/>
      <c r="J205" s="127"/>
      <c r="K205" s="127"/>
    </row>
    <row r="206">
      <c r="A206" s="121"/>
      <c r="B206" s="122"/>
      <c r="D206" s="123"/>
      <c r="E206" s="124"/>
      <c r="F206" s="125"/>
      <c r="G206" s="125"/>
      <c r="I206" s="126"/>
      <c r="J206" s="127"/>
      <c r="K206" s="127"/>
    </row>
    <row r="207">
      <c r="A207" s="121"/>
      <c r="B207" s="122"/>
      <c r="D207" s="123"/>
      <c r="E207" s="124"/>
      <c r="F207" s="125"/>
      <c r="G207" s="125"/>
      <c r="I207" s="126"/>
      <c r="J207" s="127"/>
      <c r="K207" s="127"/>
    </row>
    <row r="208">
      <c r="A208" s="121"/>
      <c r="B208" s="122"/>
      <c r="D208" s="123"/>
      <c r="E208" s="124"/>
      <c r="F208" s="125"/>
      <c r="G208" s="125"/>
      <c r="I208" s="126"/>
      <c r="J208" s="127"/>
      <c r="K208" s="127"/>
    </row>
    <row r="209">
      <c r="A209" s="121"/>
      <c r="B209" s="122"/>
      <c r="D209" s="123"/>
      <c r="E209" s="124"/>
      <c r="F209" s="125"/>
      <c r="G209" s="125"/>
      <c r="I209" s="126"/>
      <c r="J209" s="127"/>
      <c r="K209" s="127"/>
    </row>
    <row r="210">
      <c r="A210" s="121"/>
      <c r="B210" s="122"/>
      <c r="D210" s="123"/>
      <c r="E210" s="124"/>
      <c r="F210" s="125"/>
      <c r="G210" s="125"/>
      <c r="I210" s="126"/>
      <c r="J210" s="127"/>
      <c r="K210" s="127"/>
    </row>
    <row r="211">
      <c r="A211" s="121"/>
      <c r="B211" s="122"/>
      <c r="D211" s="123"/>
      <c r="E211" s="124"/>
      <c r="F211" s="125"/>
      <c r="G211" s="125"/>
      <c r="I211" s="126"/>
      <c r="J211" s="127"/>
      <c r="K211" s="127"/>
    </row>
    <row r="212">
      <c r="A212" s="121"/>
      <c r="B212" s="122"/>
      <c r="D212" s="123"/>
      <c r="E212" s="124"/>
      <c r="F212" s="125"/>
      <c r="G212" s="125"/>
      <c r="I212" s="126"/>
      <c r="J212" s="127"/>
      <c r="K212" s="127"/>
    </row>
    <row r="213">
      <c r="A213" s="121"/>
      <c r="B213" s="122"/>
      <c r="D213" s="123"/>
      <c r="E213" s="124"/>
      <c r="F213" s="125"/>
      <c r="G213" s="125"/>
      <c r="I213" s="126"/>
      <c r="J213" s="127"/>
      <c r="K213" s="127"/>
    </row>
    <row r="214">
      <c r="A214" s="121"/>
      <c r="B214" s="122"/>
      <c r="D214" s="123"/>
      <c r="E214" s="124"/>
      <c r="F214" s="125"/>
      <c r="G214" s="125"/>
      <c r="I214" s="126"/>
      <c r="J214" s="127"/>
      <c r="K214" s="127"/>
    </row>
    <row r="215">
      <c r="A215" s="121"/>
      <c r="B215" s="122"/>
      <c r="D215" s="123"/>
      <c r="E215" s="124"/>
      <c r="F215" s="125"/>
      <c r="G215" s="125"/>
      <c r="I215" s="126"/>
      <c r="J215" s="127"/>
      <c r="K215" s="127"/>
    </row>
    <row r="216">
      <c r="A216" s="121"/>
      <c r="B216" s="122"/>
      <c r="D216" s="123"/>
      <c r="E216" s="124"/>
      <c r="F216" s="125"/>
      <c r="G216" s="125"/>
      <c r="I216" s="126"/>
      <c r="J216" s="127"/>
      <c r="K216" s="127"/>
    </row>
    <row r="217">
      <c r="A217" s="121"/>
      <c r="B217" s="122"/>
      <c r="D217" s="123"/>
      <c r="E217" s="124"/>
      <c r="F217" s="125"/>
      <c r="G217" s="125"/>
      <c r="I217" s="126"/>
      <c r="J217" s="127"/>
      <c r="K217" s="127"/>
    </row>
    <row r="218">
      <c r="A218" s="121"/>
      <c r="B218" s="122"/>
      <c r="D218" s="123"/>
      <c r="E218" s="124"/>
      <c r="F218" s="125"/>
      <c r="G218" s="125"/>
      <c r="I218" s="126"/>
      <c r="J218" s="127"/>
      <c r="K218" s="127"/>
    </row>
    <row r="219">
      <c r="A219" s="121"/>
      <c r="B219" s="122"/>
      <c r="D219" s="123"/>
      <c r="E219" s="124"/>
      <c r="F219" s="125"/>
      <c r="G219" s="125"/>
      <c r="I219" s="126"/>
      <c r="J219" s="127"/>
      <c r="K219" s="127"/>
    </row>
    <row r="220">
      <c r="A220" s="121"/>
      <c r="B220" s="122"/>
      <c r="D220" s="123"/>
      <c r="E220" s="124"/>
      <c r="F220" s="125"/>
      <c r="G220" s="125"/>
      <c r="I220" s="126"/>
      <c r="J220" s="127"/>
      <c r="K220" s="127"/>
    </row>
    <row r="221">
      <c r="A221" s="121"/>
      <c r="B221" s="122"/>
      <c r="D221" s="123"/>
      <c r="E221" s="124"/>
      <c r="F221" s="125"/>
      <c r="G221" s="125"/>
      <c r="I221" s="126"/>
      <c r="J221" s="127"/>
      <c r="K221" s="127"/>
    </row>
    <row r="222">
      <c r="A222" s="121"/>
      <c r="B222" s="122"/>
      <c r="D222" s="123"/>
      <c r="E222" s="124"/>
      <c r="F222" s="125"/>
      <c r="G222" s="125"/>
      <c r="I222" s="126"/>
      <c r="J222" s="127"/>
      <c r="K222" s="127"/>
    </row>
    <row r="223">
      <c r="A223" s="121"/>
      <c r="B223" s="122"/>
      <c r="D223" s="123"/>
      <c r="E223" s="124"/>
      <c r="F223" s="125"/>
      <c r="G223" s="125"/>
      <c r="I223" s="126"/>
      <c r="J223" s="127"/>
      <c r="K223" s="127"/>
    </row>
    <row r="224">
      <c r="A224" s="121"/>
      <c r="B224" s="122"/>
      <c r="D224" s="123"/>
      <c r="E224" s="124"/>
      <c r="F224" s="125"/>
      <c r="G224" s="125"/>
      <c r="I224" s="126"/>
      <c r="J224" s="127"/>
      <c r="K224" s="127"/>
    </row>
    <row r="225">
      <c r="A225" s="121"/>
      <c r="B225" s="122"/>
      <c r="D225" s="123"/>
      <c r="E225" s="124"/>
      <c r="F225" s="125"/>
      <c r="G225" s="125"/>
      <c r="I225" s="126"/>
      <c r="J225" s="127"/>
      <c r="K225" s="127"/>
    </row>
    <row r="226">
      <c r="A226" s="121"/>
      <c r="B226" s="122"/>
      <c r="D226" s="123"/>
      <c r="E226" s="124"/>
      <c r="F226" s="125"/>
      <c r="G226" s="125"/>
      <c r="I226" s="126"/>
      <c r="J226" s="127"/>
      <c r="K226" s="127"/>
    </row>
    <row r="227">
      <c r="A227" s="121"/>
      <c r="B227" s="122"/>
      <c r="D227" s="123"/>
      <c r="E227" s="124"/>
      <c r="F227" s="125"/>
      <c r="G227" s="125"/>
      <c r="I227" s="126"/>
      <c r="J227" s="127"/>
      <c r="K227" s="127"/>
    </row>
    <row r="228">
      <c r="A228" s="121"/>
      <c r="B228" s="122"/>
      <c r="D228" s="123"/>
      <c r="E228" s="124"/>
      <c r="F228" s="125"/>
      <c r="G228" s="125"/>
      <c r="I228" s="126"/>
      <c r="J228" s="127"/>
      <c r="K228" s="127"/>
    </row>
    <row r="229">
      <c r="A229" s="121"/>
      <c r="B229" s="122"/>
      <c r="D229" s="123"/>
      <c r="E229" s="124"/>
      <c r="F229" s="125"/>
      <c r="G229" s="125"/>
      <c r="I229" s="126"/>
      <c r="J229" s="127"/>
      <c r="K229" s="127"/>
    </row>
    <row r="230">
      <c r="A230" s="121"/>
      <c r="B230" s="122"/>
      <c r="D230" s="123"/>
      <c r="E230" s="124"/>
      <c r="F230" s="125"/>
      <c r="G230" s="125"/>
      <c r="I230" s="126"/>
      <c r="J230" s="127"/>
      <c r="K230" s="127"/>
    </row>
    <row r="231">
      <c r="A231" s="121"/>
      <c r="B231" s="122"/>
      <c r="D231" s="123"/>
      <c r="E231" s="127"/>
      <c r="F231" s="125"/>
      <c r="G231" s="125"/>
      <c r="I231" s="126"/>
      <c r="J231" s="127"/>
      <c r="K231" s="127"/>
    </row>
    <row r="232">
      <c r="A232" s="121"/>
      <c r="B232" s="122"/>
      <c r="D232" s="123"/>
      <c r="E232" s="127"/>
      <c r="F232" s="125"/>
      <c r="G232" s="125"/>
      <c r="I232" s="126"/>
      <c r="J232" s="127"/>
      <c r="K232" s="127"/>
    </row>
    <row r="233">
      <c r="A233" s="121"/>
      <c r="B233" s="122"/>
      <c r="D233" s="123"/>
      <c r="E233" s="127"/>
      <c r="F233" s="125"/>
      <c r="G233" s="125"/>
      <c r="I233" s="126"/>
      <c r="J233" s="127"/>
      <c r="K233" s="127"/>
    </row>
    <row r="234">
      <c r="A234" s="121"/>
      <c r="B234" s="122"/>
      <c r="D234" s="123"/>
      <c r="E234" s="127"/>
      <c r="F234" s="125"/>
      <c r="G234" s="125"/>
      <c r="I234" s="126"/>
      <c r="J234" s="127"/>
      <c r="K234" s="127"/>
    </row>
    <row r="235">
      <c r="A235" s="121"/>
      <c r="B235" s="122"/>
      <c r="D235" s="123"/>
      <c r="E235" s="127"/>
      <c r="F235" s="125"/>
      <c r="G235" s="125"/>
      <c r="I235" s="126"/>
      <c r="J235" s="127"/>
      <c r="K235" s="127"/>
    </row>
    <row r="236">
      <c r="A236" s="121"/>
      <c r="B236" s="122"/>
      <c r="D236" s="123"/>
      <c r="E236" s="127"/>
      <c r="F236" s="125"/>
      <c r="G236" s="125"/>
      <c r="I236" s="126"/>
      <c r="J236" s="127"/>
      <c r="K236" s="127"/>
    </row>
    <row r="237">
      <c r="A237" s="121"/>
      <c r="B237" s="122"/>
      <c r="D237" s="123"/>
      <c r="E237" s="127"/>
      <c r="F237" s="125"/>
      <c r="G237" s="125"/>
      <c r="I237" s="126"/>
      <c r="J237" s="127"/>
      <c r="K237" s="127"/>
    </row>
    <row r="238">
      <c r="A238" s="121"/>
      <c r="B238" s="122"/>
      <c r="D238" s="123"/>
      <c r="E238" s="127"/>
      <c r="F238" s="125"/>
      <c r="G238" s="125"/>
      <c r="I238" s="126"/>
      <c r="J238" s="127"/>
      <c r="K238" s="127"/>
    </row>
    <row r="239">
      <c r="A239" s="121"/>
      <c r="B239" s="122"/>
      <c r="D239" s="123"/>
      <c r="E239" s="127"/>
      <c r="F239" s="125"/>
      <c r="G239" s="125"/>
      <c r="I239" s="126"/>
      <c r="J239" s="127"/>
      <c r="K239" s="127"/>
    </row>
    <row r="240">
      <c r="A240" s="121"/>
      <c r="B240" s="122"/>
      <c r="D240" s="123"/>
      <c r="E240" s="127"/>
      <c r="F240" s="125"/>
      <c r="G240" s="125"/>
      <c r="I240" s="126"/>
      <c r="J240" s="127"/>
      <c r="K240" s="127"/>
    </row>
    <row r="241">
      <c r="A241" s="121"/>
      <c r="B241" s="122"/>
      <c r="D241" s="123"/>
      <c r="E241" s="127"/>
      <c r="F241" s="125"/>
      <c r="G241" s="125"/>
      <c r="I241" s="126"/>
      <c r="J241" s="127"/>
      <c r="K241" s="127"/>
    </row>
    <row r="242">
      <c r="A242" s="121"/>
      <c r="B242" s="122"/>
      <c r="D242" s="123"/>
      <c r="E242" s="127"/>
      <c r="F242" s="125"/>
      <c r="G242" s="125"/>
      <c r="I242" s="126"/>
      <c r="J242" s="127"/>
      <c r="K242" s="127"/>
    </row>
    <row r="243">
      <c r="A243" s="121"/>
      <c r="B243" s="122"/>
      <c r="D243" s="123"/>
      <c r="E243" s="127"/>
      <c r="F243" s="125"/>
      <c r="G243" s="125"/>
      <c r="I243" s="126"/>
      <c r="J243" s="127"/>
      <c r="K243" s="127"/>
    </row>
    <row r="244">
      <c r="A244" s="121"/>
      <c r="B244" s="122"/>
      <c r="D244" s="123"/>
      <c r="E244" s="127"/>
      <c r="F244" s="125"/>
      <c r="G244" s="125"/>
      <c r="I244" s="126"/>
      <c r="J244" s="127"/>
      <c r="K244" s="127"/>
    </row>
    <row r="245">
      <c r="A245" s="121"/>
      <c r="B245" s="122"/>
      <c r="D245" s="123"/>
      <c r="E245" s="127"/>
      <c r="F245" s="125"/>
      <c r="G245" s="125"/>
      <c r="I245" s="126"/>
      <c r="J245" s="127"/>
      <c r="K245" s="127"/>
    </row>
    <row r="246">
      <c r="A246" s="121"/>
      <c r="B246" s="122"/>
      <c r="D246" s="123"/>
      <c r="E246" s="127"/>
      <c r="F246" s="125"/>
      <c r="G246" s="125"/>
      <c r="I246" s="126"/>
      <c r="J246" s="127"/>
      <c r="K246" s="127"/>
    </row>
    <row r="247">
      <c r="A247" s="121"/>
      <c r="B247" s="122"/>
      <c r="D247" s="123"/>
      <c r="E247" s="127"/>
      <c r="F247" s="125"/>
      <c r="G247" s="125"/>
      <c r="I247" s="126"/>
      <c r="J247" s="127"/>
      <c r="K247" s="127"/>
    </row>
    <row r="248">
      <c r="A248" s="121"/>
      <c r="B248" s="122"/>
      <c r="D248" s="123"/>
      <c r="E248" s="127"/>
      <c r="F248" s="125"/>
      <c r="G248" s="125"/>
      <c r="I248" s="126"/>
      <c r="J248" s="127"/>
      <c r="K248" s="127"/>
    </row>
    <row r="249">
      <c r="A249" s="121"/>
      <c r="B249" s="122"/>
      <c r="D249" s="123"/>
      <c r="E249" s="127"/>
      <c r="F249" s="125"/>
      <c r="G249" s="125"/>
      <c r="I249" s="126"/>
      <c r="J249" s="127"/>
      <c r="K249" s="127"/>
    </row>
    <row r="250">
      <c r="A250" s="121"/>
      <c r="B250" s="122"/>
      <c r="D250" s="123"/>
      <c r="E250" s="127"/>
      <c r="F250" s="125"/>
      <c r="G250" s="125"/>
      <c r="I250" s="126"/>
      <c r="J250" s="127"/>
      <c r="K250" s="127"/>
    </row>
    <row r="251">
      <c r="A251" s="121"/>
      <c r="B251" s="122"/>
      <c r="D251" s="123"/>
      <c r="E251" s="127"/>
      <c r="F251" s="125"/>
      <c r="G251" s="125"/>
      <c r="I251" s="126"/>
      <c r="J251" s="127"/>
      <c r="K251" s="127"/>
    </row>
    <row r="252">
      <c r="A252" s="121"/>
      <c r="B252" s="122"/>
      <c r="D252" s="123"/>
      <c r="E252" s="127"/>
      <c r="F252" s="125"/>
      <c r="G252" s="125"/>
      <c r="I252" s="126"/>
      <c r="J252" s="127"/>
      <c r="K252" s="127"/>
    </row>
    <row r="253">
      <c r="A253" s="121"/>
      <c r="B253" s="122"/>
      <c r="D253" s="123"/>
      <c r="E253" s="127"/>
      <c r="F253" s="125"/>
      <c r="G253" s="125"/>
      <c r="I253" s="126"/>
      <c r="J253" s="127"/>
      <c r="K253" s="127"/>
    </row>
    <row r="254">
      <c r="A254" s="121"/>
      <c r="B254" s="122"/>
      <c r="D254" s="123"/>
      <c r="E254" s="127"/>
      <c r="F254" s="125"/>
      <c r="G254" s="125"/>
      <c r="I254" s="126"/>
      <c r="J254" s="127"/>
      <c r="K254" s="127"/>
    </row>
    <row r="255">
      <c r="A255" s="121"/>
      <c r="B255" s="122"/>
      <c r="D255" s="123"/>
      <c r="E255" s="127"/>
      <c r="F255" s="125"/>
      <c r="G255" s="125"/>
      <c r="I255" s="126"/>
      <c r="J255" s="127"/>
      <c r="K255" s="127"/>
    </row>
    <row r="256">
      <c r="A256" s="121"/>
      <c r="B256" s="122"/>
      <c r="D256" s="123"/>
      <c r="E256" s="127"/>
      <c r="F256" s="125"/>
      <c r="G256" s="125"/>
      <c r="I256" s="126"/>
      <c r="J256" s="127"/>
      <c r="K256" s="127"/>
    </row>
    <row r="257">
      <c r="A257" s="121"/>
      <c r="B257" s="122"/>
      <c r="D257" s="123"/>
      <c r="E257" s="127"/>
      <c r="F257" s="125"/>
      <c r="G257" s="125"/>
      <c r="I257" s="126"/>
      <c r="J257" s="127"/>
      <c r="K257" s="127"/>
    </row>
    <row r="258">
      <c r="A258" s="121"/>
      <c r="B258" s="122"/>
      <c r="D258" s="123"/>
      <c r="E258" s="127"/>
      <c r="F258" s="125"/>
      <c r="G258" s="125"/>
      <c r="I258" s="126"/>
      <c r="J258" s="127"/>
      <c r="K258" s="127"/>
    </row>
    <row r="259">
      <c r="A259" s="121"/>
      <c r="B259" s="122"/>
      <c r="D259" s="123"/>
      <c r="E259" s="127"/>
      <c r="F259" s="125"/>
      <c r="G259" s="125"/>
      <c r="I259" s="126"/>
      <c r="J259" s="127"/>
      <c r="K259" s="127"/>
    </row>
    <row r="260">
      <c r="A260" s="121"/>
      <c r="B260" s="122"/>
      <c r="D260" s="123"/>
      <c r="E260" s="127"/>
      <c r="F260" s="125"/>
      <c r="G260" s="125"/>
      <c r="I260" s="126"/>
      <c r="J260" s="127"/>
      <c r="K260" s="127"/>
    </row>
    <row r="261">
      <c r="A261" s="121"/>
      <c r="B261" s="122"/>
      <c r="D261" s="123"/>
      <c r="E261" s="127"/>
      <c r="F261" s="125"/>
      <c r="G261" s="125"/>
      <c r="I261" s="126"/>
      <c r="J261" s="127"/>
      <c r="K261" s="127"/>
    </row>
    <row r="262">
      <c r="A262" s="121"/>
      <c r="B262" s="122"/>
      <c r="D262" s="123"/>
      <c r="E262" s="127"/>
      <c r="F262" s="125"/>
      <c r="G262" s="125"/>
      <c r="I262" s="126"/>
      <c r="J262" s="127"/>
      <c r="K262" s="127"/>
    </row>
    <row r="263">
      <c r="A263" s="121"/>
      <c r="B263" s="122"/>
      <c r="D263" s="123"/>
      <c r="E263" s="127"/>
      <c r="F263" s="125"/>
      <c r="G263" s="125"/>
      <c r="I263" s="126"/>
      <c r="J263" s="127"/>
      <c r="K263" s="127"/>
    </row>
    <row r="264">
      <c r="A264" s="121"/>
      <c r="B264" s="122"/>
      <c r="D264" s="123"/>
      <c r="E264" s="127"/>
      <c r="F264" s="125"/>
      <c r="G264" s="125"/>
      <c r="I264" s="126"/>
      <c r="J264" s="127"/>
      <c r="K264" s="127"/>
    </row>
    <row r="265">
      <c r="A265" s="121"/>
      <c r="B265" s="122"/>
      <c r="D265" s="123"/>
      <c r="E265" s="127"/>
      <c r="F265" s="125"/>
      <c r="G265" s="125"/>
      <c r="I265" s="126"/>
      <c r="J265" s="127"/>
      <c r="K265" s="127"/>
    </row>
    <row r="266">
      <c r="A266" s="121"/>
      <c r="B266" s="122"/>
      <c r="D266" s="123"/>
      <c r="E266" s="127"/>
      <c r="F266" s="125"/>
      <c r="G266" s="125"/>
      <c r="I266" s="126"/>
      <c r="J266" s="127"/>
      <c r="K266" s="127"/>
    </row>
    <row r="267">
      <c r="A267" s="121"/>
      <c r="B267" s="122"/>
      <c r="D267" s="123"/>
      <c r="E267" s="127"/>
      <c r="F267" s="125"/>
      <c r="G267" s="125"/>
      <c r="I267" s="126"/>
      <c r="J267" s="127"/>
      <c r="K267" s="127"/>
    </row>
    <row r="268">
      <c r="A268" s="121"/>
      <c r="B268" s="122"/>
      <c r="D268" s="123"/>
      <c r="E268" s="127"/>
      <c r="F268" s="125"/>
      <c r="G268" s="125"/>
      <c r="I268" s="126"/>
      <c r="J268" s="127"/>
      <c r="K268" s="127"/>
    </row>
    <row r="269">
      <c r="A269" s="121"/>
      <c r="B269" s="122"/>
      <c r="D269" s="123"/>
      <c r="E269" s="127"/>
      <c r="F269" s="125"/>
      <c r="G269" s="125"/>
      <c r="I269" s="126"/>
      <c r="J269" s="127"/>
      <c r="K269" s="127"/>
    </row>
    <row r="270">
      <c r="A270" s="121"/>
      <c r="B270" s="122"/>
      <c r="D270" s="123"/>
      <c r="E270" s="127"/>
      <c r="F270" s="125"/>
      <c r="G270" s="125"/>
      <c r="I270" s="126"/>
      <c r="J270" s="127"/>
      <c r="K270" s="127"/>
    </row>
    <row r="271">
      <c r="A271" s="121"/>
      <c r="B271" s="122"/>
      <c r="D271" s="123"/>
      <c r="E271" s="127"/>
      <c r="F271" s="125"/>
      <c r="G271" s="125"/>
      <c r="I271" s="126"/>
      <c r="J271" s="127"/>
      <c r="K271" s="127"/>
    </row>
    <row r="272">
      <c r="A272" s="121"/>
      <c r="B272" s="122"/>
      <c r="D272" s="123"/>
      <c r="E272" s="127"/>
      <c r="F272" s="125"/>
      <c r="G272" s="125"/>
      <c r="I272" s="126"/>
      <c r="J272" s="127"/>
      <c r="K272" s="127"/>
    </row>
    <row r="273">
      <c r="A273" s="121"/>
      <c r="B273" s="122"/>
      <c r="D273" s="123"/>
      <c r="E273" s="127"/>
      <c r="F273" s="125"/>
      <c r="G273" s="125"/>
      <c r="I273" s="126"/>
      <c r="J273" s="127"/>
      <c r="K273" s="127"/>
    </row>
    <row r="274">
      <c r="A274" s="121"/>
      <c r="B274" s="122"/>
      <c r="D274" s="123"/>
      <c r="E274" s="127"/>
      <c r="F274" s="125"/>
      <c r="G274" s="125"/>
      <c r="I274" s="126"/>
      <c r="J274" s="127"/>
      <c r="K274" s="127"/>
    </row>
    <row r="275">
      <c r="A275" s="121"/>
      <c r="B275" s="122"/>
      <c r="D275" s="123"/>
      <c r="E275" s="127"/>
      <c r="F275" s="125"/>
      <c r="G275" s="125"/>
      <c r="I275" s="126"/>
      <c r="J275" s="127"/>
      <c r="K275" s="127"/>
    </row>
    <row r="276">
      <c r="A276" s="121"/>
      <c r="B276" s="122"/>
      <c r="D276" s="123"/>
      <c r="E276" s="127"/>
      <c r="F276" s="125"/>
      <c r="G276" s="125"/>
      <c r="I276" s="126"/>
      <c r="J276" s="127"/>
      <c r="K276" s="127"/>
    </row>
    <row r="277">
      <c r="A277" s="121"/>
      <c r="B277" s="122"/>
      <c r="D277" s="123"/>
      <c r="E277" s="127"/>
      <c r="F277" s="125"/>
      <c r="G277" s="125"/>
      <c r="I277" s="126"/>
      <c r="J277" s="127"/>
      <c r="K277" s="127"/>
    </row>
    <row r="278">
      <c r="A278" s="121"/>
      <c r="B278" s="122"/>
      <c r="D278" s="123"/>
      <c r="E278" s="127"/>
      <c r="F278" s="125"/>
      <c r="G278" s="125"/>
      <c r="I278" s="126"/>
      <c r="J278" s="127"/>
      <c r="K278" s="127"/>
    </row>
    <row r="279">
      <c r="A279" s="121"/>
      <c r="B279" s="122"/>
      <c r="D279" s="123"/>
      <c r="E279" s="127"/>
      <c r="F279" s="125"/>
      <c r="G279" s="125"/>
      <c r="I279" s="126"/>
      <c r="J279" s="127"/>
      <c r="K279" s="127"/>
    </row>
    <row r="280">
      <c r="A280" s="121"/>
      <c r="B280" s="122"/>
      <c r="D280" s="123"/>
      <c r="E280" s="127"/>
      <c r="F280" s="125"/>
      <c r="G280" s="125"/>
      <c r="I280" s="126"/>
      <c r="J280" s="127"/>
      <c r="K280" s="127"/>
    </row>
    <row r="281">
      <c r="A281" s="121"/>
      <c r="B281" s="122"/>
      <c r="D281" s="123"/>
      <c r="E281" s="127"/>
      <c r="F281" s="125"/>
      <c r="G281" s="125"/>
      <c r="I281" s="126"/>
      <c r="J281" s="127"/>
      <c r="K281" s="127"/>
    </row>
    <row r="282">
      <c r="A282" s="121"/>
      <c r="B282" s="122"/>
      <c r="D282" s="123"/>
      <c r="E282" s="127"/>
      <c r="F282" s="125"/>
      <c r="G282" s="125"/>
      <c r="I282" s="126"/>
      <c r="J282" s="127"/>
      <c r="K282" s="127"/>
    </row>
    <row r="283">
      <c r="A283" s="121"/>
      <c r="B283" s="122"/>
      <c r="D283" s="123"/>
      <c r="E283" s="127"/>
      <c r="F283" s="125"/>
      <c r="G283" s="125"/>
      <c r="I283" s="126"/>
      <c r="J283" s="127"/>
      <c r="K283" s="127"/>
    </row>
    <row r="284">
      <c r="A284" s="121"/>
      <c r="B284" s="122"/>
      <c r="D284" s="123"/>
      <c r="E284" s="127"/>
      <c r="F284" s="125"/>
      <c r="G284" s="125"/>
      <c r="I284" s="126"/>
      <c r="J284" s="127"/>
      <c r="K284" s="127"/>
    </row>
    <row r="285">
      <c r="A285" s="121"/>
      <c r="B285" s="122"/>
      <c r="D285" s="123"/>
      <c r="E285" s="127"/>
      <c r="F285" s="125"/>
      <c r="G285" s="125"/>
      <c r="I285" s="126"/>
      <c r="J285" s="127"/>
      <c r="K285" s="127"/>
    </row>
    <row r="286">
      <c r="A286" s="121"/>
      <c r="B286" s="122"/>
      <c r="D286" s="123"/>
      <c r="E286" s="127"/>
      <c r="F286" s="125"/>
      <c r="G286" s="125"/>
      <c r="I286" s="126"/>
      <c r="J286" s="127"/>
      <c r="K286" s="127"/>
    </row>
    <row r="287">
      <c r="A287" s="121"/>
      <c r="B287" s="122"/>
      <c r="D287" s="123"/>
      <c r="E287" s="127"/>
      <c r="F287" s="125"/>
      <c r="G287" s="125"/>
      <c r="I287" s="126"/>
      <c r="J287" s="127"/>
      <c r="K287" s="127"/>
    </row>
    <row r="288">
      <c r="A288" s="121"/>
      <c r="B288" s="122"/>
      <c r="D288" s="123"/>
      <c r="E288" s="127"/>
      <c r="F288" s="125"/>
      <c r="G288" s="125"/>
      <c r="I288" s="126"/>
      <c r="J288" s="127"/>
      <c r="K288" s="127"/>
    </row>
    <row r="289">
      <c r="A289" s="121"/>
      <c r="B289" s="122"/>
      <c r="D289" s="123"/>
      <c r="E289" s="127"/>
      <c r="F289" s="125"/>
      <c r="G289" s="125"/>
      <c r="I289" s="126"/>
      <c r="J289" s="127"/>
      <c r="K289" s="127"/>
    </row>
    <row r="290">
      <c r="A290" s="121"/>
      <c r="B290" s="122"/>
      <c r="D290" s="123"/>
      <c r="E290" s="127"/>
      <c r="F290" s="125"/>
      <c r="G290" s="125"/>
      <c r="I290" s="126"/>
      <c r="J290" s="127"/>
      <c r="K290" s="127"/>
    </row>
    <row r="291">
      <c r="A291" s="121"/>
      <c r="B291" s="122"/>
      <c r="D291" s="123"/>
      <c r="E291" s="127"/>
      <c r="F291" s="125"/>
      <c r="G291" s="125"/>
      <c r="I291" s="126"/>
      <c r="J291" s="127"/>
      <c r="K291" s="127"/>
    </row>
    <row r="292">
      <c r="A292" s="121"/>
      <c r="B292" s="122"/>
      <c r="D292" s="123"/>
      <c r="E292" s="127"/>
      <c r="F292" s="125"/>
      <c r="G292" s="125"/>
      <c r="I292" s="126"/>
      <c r="J292" s="127"/>
      <c r="K292" s="127"/>
    </row>
    <row r="293">
      <c r="A293" s="121"/>
      <c r="B293" s="122"/>
      <c r="D293" s="123"/>
      <c r="E293" s="127"/>
      <c r="F293" s="125"/>
      <c r="G293" s="125"/>
      <c r="I293" s="126"/>
      <c r="J293" s="127"/>
      <c r="K293" s="127"/>
    </row>
    <row r="294">
      <c r="A294" s="121"/>
      <c r="B294" s="122"/>
      <c r="D294" s="123"/>
      <c r="E294" s="127"/>
      <c r="F294" s="125"/>
      <c r="G294" s="125"/>
      <c r="I294" s="126"/>
      <c r="J294" s="127"/>
      <c r="K294" s="127"/>
    </row>
    <row r="295">
      <c r="A295" s="121"/>
      <c r="B295" s="122"/>
      <c r="D295" s="123"/>
      <c r="E295" s="127"/>
      <c r="F295" s="125"/>
      <c r="G295" s="125"/>
      <c r="I295" s="126"/>
      <c r="J295" s="127"/>
      <c r="K295" s="127"/>
    </row>
    <row r="296">
      <c r="A296" s="121"/>
      <c r="B296" s="122"/>
      <c r="D296" s="123"/>
      <c r="E296" s="127"/>
      <c r="F296" s="125"/>
      <c r="G296" s="125"/>
      <c r="I296" s="126"/>
      <c r="J296" s="127"/>
      <c r="K296" s="127"/>
    </row>
    <row r="297">
      <c r="A297" s="121"/>
      <c r="B297" s="122"/>
      <c r="D297" s="123"/>
      <c r="E297" s="127"/>
      <c r="F297" s="125"/>
      <c r="G297" s="125"/>
      <c r="I297" s="126"/>
      <c r="J297" s="127"/>
      <c r="K297" s="127"/>
    </row>
    <row r="298">
      <c r="A298" s="121"/>
      <c r="B298" s="122"/>
      <c r="D298" s="123"/>
      <c r="E298" s="127"/>
      <c r="F298" s="125"/>
      <c r="G298" s="125"/>
      <c r="I298" s="126"/>
      <c r="J298" s="127"/>
      <c r="K298" s="127"/>
    </row>
    <row r="299">
      <c r="A299" s="121"/>
      <c r="B299" s="122"/>
      <c r="D299" s="123"/>
      <c r="E299" s="127"/>
      <c r="F299" s="125"/>
      <c r="G299" s="125"/>
      <c r="I299" s="126"/>
      <c r="J299" s="127"/>
      <c r="K299" s="127"/>
    </row>
    <row r="300">
      <c r="A300" s="121"/>
      <c r="B300" s="122"/>
      <c r="D300" s="123"/>
      <c r="E300" s="127"/>
      <c r="F300" s="125"/>
      <c r="G300" s="125"/>
      <c r="I300" s="126"/>
      <c r="J300" s="127"/>
      <c r="K300" s="127"/>
    </row>
    <row r="301">
      <c r="A301" s="121"/>
      <c r="B301" s="122"/>
      <c r="D301" s="123"/>
      <c r="E301" s="127"/>
      <c r="F301" s="125"/>
      <c r="G301" s="125"/>
      <c r="I301" s="126"/>
      <c r="J301" s="127"/>
      <c r="K301" s="127"/>
    </row>
    <row r="302">
      <c r="A302" s="121"/>
      <c r="B302" s="122"/>
      <c r="D302" s="123"/>
      <c r="E302" s="127"/>
      <c r="F302" s="125"/>
      <c r="G302" s="125"/>
      <c r="I302" s="126"/>
      <c r="J302" s="127"/>
      <c r="K302" s="127"/>
    </row>
    <row r="303">
      <c r="A303" s="121"/>
      <c r="B303" s="122"/>
      <c r="D303" s="123"/>
      <c r="E303" s="127"/>
      <c r="F303" s="125"/>
      <c r="G303" s="125"/>
      <c r="I303" s="126"/>
      <c r="J303" s="127"/>
      <c r="K303" s="127"/>
    </row>
    <row r="304">
      <c r="A304" s="121"/>
      <c r="B304" s="122"/>
      <c r="D304" s="123"/>
      <c r="E304" s="127"/>
      <c r="F304" s="125"/>
      <c r="G304" s="125"/>
      <c r="I304" s="126"/>
      <c r="J304" s="127"/>
      <c r="K304" s="127"/>
    </row>
    <row r="305">
      <c r="A305" s="121"/>
      <c r="B305" s="122"/>
      <c r="D305" s="123"/>
      <c r="E305" s="127"/>
      <c r="F305" s="125"/>
      <c r="G305" s="125"/>
      <c r="I305" s="126"/>
      <c r="J305" s="127"/>
      <c r="K305" s="127"/>
    </row>
    <row r="306">
      <c r="A306" s="121"/>
      <c r="B306" s="122"/>
      <c r="D306" s="123"/>
      <c r="E306" s="127"/>
      <c r="F306" s="125"/>
      <c r="G306" s="125"/>
      <c r="I306" s="126"/>
      <c r="J306" s="127"/>
      <c r="K306" s="127"/>
    </row>
    <row r="307">
      <c r="A307" s="121"/>
      <c r="B307" s="122"/>
      <c r="D307" s="123"/>
      <c r="E307" s="127"/>
      <c r="F307" s="125"/>
      <c r="G307" s="125"/>
      <c r="I307" s="126"/>
      <c r="J307" s="127"/>
      <c r="K307" s="127"/>
    </row>
    <row r="308">
      <c r="A308" s="121"/>
      <c r="B308" s="122"/>
      <c r="D308" s="123"/>
      <c r="E308" s="127"/>
      <c r="F308" s="125"/>
      <c r="G308" s="125"/>
      <c r="I308" s="126"/>
      <c r="J308" s="127"/>
      <c r="K308" s="127"/>
    </row>
    <row r="309">
      <c r="A309" s="121"/>
      <c r="B309" s="122"/>
      <c r="D309" s="123"/>
      <c r="E309" s="127"/>
      <c r="F309" s="125"/>
      <c r="G309" s="125"/>
      <c r="I309" s="126"/>
      <c r="J309" s="127"/>
      <c r="K309" s="127"/>
    </row>
    <row r="310">
      <c r="A310" s="121"/>
      <c r="B310" s="122"/>
      <c r="D310" s="123"/>
      <c r="E310" s="127"/>
      <c r="F310" s="125"/>
      <c r="G310" s="125"/>
      <c r="I310" s="126"/>
      <c r="J310" s="127"/>
      <c r="K310" s="127"/>
    </row>
    <row r="311">
      <c r="A311" s="121"/>
      <c r="B311" s="122"/>
      <c r="D311" s="123"/>
      <c r="E311" s="127"/>
      <c r="F311" s="125"/>
      <c r="G311" s="125"/>
      <c r="I311" s="126"/>
      <c r="J311" s="127"/>
      <c r="K311" s="127"/>
    </row>
    <row r="312">
      <c r="A312" s="121"/>
      <c r="B312" s="122"/>
      <c r="D312" s="123"/>
      <c r="E312" s="127"/>
      <c r="F312" s="125"/>
      <c r="G312" s="125"/>
      <c r="I312" s="126"/>
      <c r="J312" s="127"/>
      <c r="K312" s="127"/>
    </row>
    <row r="313">
      <c r="A313" s="121"/>
      <c r="B313" s="122"/>
      <c r="D313" s="123"/>
      <c r="E313" s="127"/>
      <c r="F313" s="125"/>
      <c r="G313" s="125"/>
      <c r="I313" s="126"/>
      <c r="J313" s="127"/>
      <c r="K313" s="127"/>
    </row>
    <row r="314">
      <c r="A314" s="121"/>
      <c r="B314" s="122"/>
      <c r="D314" s="123"/>
      <c r="E314" s="127"/>
      <c r="F314" s="125"/>
      <c r="G314" s="125"/>
      <c r="I314" s="126"/>
      <c r="J314" s="127"/>
      <c r="K314" s="127"/>
    </row>
    <row r="315">
      <c r="A315" s="121"/>
      <c r="B315" s="122"/>
      <c r="D315" s="123"/>
      <c r="E315" s="127"/>
      <c r="F315" s="125"/>
      <c r="G315" s="125"/>
      <c r="I315" s="126"/>
      <c r="J315" s="127"/>
      <c r="K315" s="127"/>
    </row>
    <row r="316">
      <c r="A316" s="121"/>
      <c r="B316" s="122"/>
      <c r="D316" s="123"/>
      <c r="E316" s="127"/>
      <c r="F316" s="125"/>
      <c r="G316" s="125"/>
      <c r="I316" s="126"/>
      <c r="J316" s="127"/>
      <c r="K316" s="127"/>
    </row>
    <row r="317">
      <c r="A317" s="121"/>
      <c r="B317" s="122"/>
      <c r="D317" s="123"/>
      <c r="E317" s="127"/>
      <c r="F317" s="125"/>
      <c r="G317" s="125"/>
      <c r="I317" s="126"/>
      <c r="J317" s="127"/>
      <c r="K317" s="127"/>
    </row>
    <row r="318">
      <c r="A318" s="121"/>
      <c r="B318" s="122"/>
      <c r="D318" s="123"/>
      <c r="E318" s="127"/>
      <c r="F318" s="125"/>
      <c r="G318" s="125"/>
      <c r="I318" s="126"/>
      <c r="J318" s="127"/>
      <c r="K318" s="127"/>
    </row>
    <row r="319">
      <c r="A319" s="121"/>
      <c r="B319" s="122"/>
      <c r="D319" s="123"/>
      <c r="E319" s="127"/>
      <c r="F319" s="125"/>
      <c r="G319" s="125"/>
      <c r="I319" s="126"/>
      <c r="J319" s="127"/>
      <c r="K319" s="127"/>
    </row>
    <row r="320">
      <c r="A320" s="121"/>
      <c r="B320" s="122"/>
      <c r="D320" s="123"/>
      <c r="E320" s="127"/>
      <c r="F320" s="125"/>
      <c r="G320" s="125"/>
      <c r="I320" s="126"/>
      <c r="J320" s="127"/>
      <c r="K320" s="127"/>
    </row>
    <row r="321">
      <c r="A321" s="121"/>
      <c r="B321" s="122"/>
      <c r="D321" s="123"/>
      <c r="E321" s="127"/>
      <c r="F321" s="125"/>
      <c r="G321" s="125"/>
      <c r="I321" s="126"/>
      <c r="J321" s="127"/>
      <c r="K321" s="127"/>
    </row>
    <row r="322">
      <c r="A322" s="121"/>
      <c r="B322" s="122"/>
      <c r="D322" s="123"/>
      <c r="E322" s="127"/>
      <c r="F322" s="125"/>
      <c r="G322" s="125"/>
      <c r="I322" s="126"/>
      <c r="J322" s="127"/>
      <c r="K322" s="127"/>
    </row>
    <row r="323">
      <c r="A323" s="121"/>
      <c r="B323" s="122"/>
      <c r="D323" s="123"/>
      <c r="E323" s="127"/>
      <c r="F323" s="125"/>
      <c r="G323" s="125"/>
      <c r="I323" s="126"/>
      <c r="J323" s="127"/>
      <c r="K323" s="127"/>
    </row>
    <row r="324">
      <c r="A324" s="121"/>
      <c r="B324" s="122"/>
      <c r="D324" s="123"/>
      <c r="E324" s="127"/>
      <c r="F324" s="125"/>
      <c r="G324" s="125"/>
      <c r="I324" s="126"/>
      <c r="J324" s="127"/>
      <c r="K324" s="127"/>
    </row>
    <row r="325">
      <c r="A325" s="121"/>
      <c r="B325" s="122"/>
      <c r="D325" s="123"/>
      <c r="E325" s="127"/>
      <c r="F325" s="125"/>
      <c r="G325" s="125"/>
      <c r="I325" s="126"/>
      <c r="J325" s="127"/>
      <c r="K325" s="127"/>
    </row>
    <row r="326">
      <c r="A326" s="121"/>
      <c r="B326" s="122"/>
      <c r="D326" s="123"/>
      <c r="E326" s="127"/>
      <c r="F326" s="125"/>
      <c r="G326" s="125"/>
      <c r="I326" s="126"/>
      <c r="J326" s="127"/>
      <c r="K326" s="127"/>
    </row>
    <row r="327">
      <c r="A327" s="121"/>
      <c r="B327" s="122"/>
      <c r="D327" s="123"/>
      <c r="E327" s="127"/>
      <c r="F327" s="125"/>
      <c r="G327" s="125"/>
      <c r="I327" s="126"/>
      <c r="J327" s="127"/>
      <c r="K327" s="127"/>
    </row>
    <row r="328">
      <c r="A328" s="121"/>
      <c r="B328" s="122"/>
      <c r="D328" s="123"/>
      <c r="E328" s="127"/>
      <c r="F328" s="125"/>
      <c r="G328" s="125"/>
      <c r="I328" s="126"/>
      <c r="J328" s="127"/>
      <c r="K328" s="127"/>
    </row>
    <row r="329">
      <c r="A329" s="121"/>
      <c r="B329" s="122"/>
      <c r="D329" s="123"/>
      <c r="E329" s="127"/>
      <c r="F329" s="125"/>
      <c r="G329" s="125"/>
      <c r="I329" s="126"/>
      <c r="J329" s="127"/>
      <c r="K329" s="127"/>
    </row>
    <row r="330">
      <c r="A330" s="121"/>
      <c r="B330" s="122"/>
      <c r="D330" s="123"/>
      <c r="E330" s="127"/>
      <c r="F330" s="125"/>
      <c r="G330" s="125"/>
      <c r="I330" s="126"/>
      <c r="J330" s="127"/>
      <c r="K330" s="127"/>
    </row>
    <row r="331">
      <c r="A331" s="121"/>
      <c r="B331" s="122"/>
      <c r="D331" s="123"/>
      <c r="E331" s="127"/>
      <c r="F331" s="125"/>
      <c r="G331" s="125"/>
      <c r="I331" s="126"/>
      <c r="J331" s="127"/>
      <c r="K331" s="127"/>
    </row>
    <row r="332">
      <c r="A332" s="121"/>
      <c r="B332" s="122"/>
      <c r="D332" s="123"/>
      <c r="E332" s="127"/>
      <c r="F332" s="125"/>
      <c r="G332" s="125"/>
      <c r="I332" s="126"/>
      <c r="J332" s="127"/>
      <c r="K332" s="127"/>
    </row>
    <row r="333">
      <c r="A333" s="121"/>
      <c r="B333" s="122"/>
      <c r="D333" s="123"/>
      <c r="E333" s="127"/>
      <c r="F333" s="125"/>
      <c r="G333" s="125"/>
      <c r="I333" s="126"/>
      <c r="J333" s="127"/>
      <c r="K333" s="127"/>
    </row>
    <row r="334">
      <c r="A334" s="121"/>
      <c r="B334" s="122"/>
      <c r="D334" s="123"/>
      <c r="E334" s="127"/>
      <c r="F334" s="125"/>
      <c r="G334" s="125"/>
      <c r="I334" s="126"/>
      <c r="J334" s="127"/>
      <c r="K334" s="127"/>
    </row>
    <row r="335">
      <c r="A335" s="121"/>
      <c r="B335" s="122"/>
      <c r="D335" s="123"/>
      <c r="E335" s="127"/>
      <c r="F335" s="125"/>
      <c r="G335" s="125"/>
      <c r="I335" s="126"/>
      <c r="J335" s="127"/>
      <c r="K335" s="127"/>
    </row>
    <row r="336">
      <c r="A336" s="121"/>
      <c r="B336" s="122"/>
      <c r="D336" s="123"/>
      <c r="E336" s="127"/>
      <c r="F336" s="125"/>
      <c r="G336" s="125"/>
      <c r="I336" s="126"/>
      <c r="J336" s="127"/>
      <c r="K336" s="127"/>
    </row>
    <row r="337">
      <c r="A337" s="121"/>
      <c r="B337" s="122"/>
      <c r="D337" s="123"/>
      <c r="E337" s="127"/>
      <c r="F337" s="125"/>
      <c r="G337" s="125"/>
      <c r="I337" s="126"/>
      <c r="J337" s="127"/>
      <c r="K337" s="127"/>
    </row>
    <row r="338">
      <c r="A338" s="121"/>
      <c r="B338" s="122"/>
      <c r="D338" s="123"/>
      <c r="E338" s="127"/>
      <c r="F338" s="125"/>
      <c r="G338" s="125"/>
      <c r="I338" s="126"/>
      <c r="J338" s="127"/>
      <c r="K338" s="127"/>
    </row>
    <row r="339">
      <c r="A339" s="121"/>
      <c r="B339" s="122"/>
      <c r="D339" s="123"/>
      <c r="E339" s="127"/>
      <c r="F339" s="125"/>
      <c r="G339" s="125"/>
      <c r="I339" s="126"/>
      <c r="J339" s="127"/>
      <c r="K339" s="127"/>
    </row>
    <row r="340">
      <c r="A340" s="121"/>
      <c r="B340" s="122"/>
      <c r="D340" s="123"/>
      <c r="E340" s="127"/>
      <c r="F340" s="125"/>
      <c r="G340" s="125"/>
      <c r="I340" s="126"/>
      <c r="J340" s="127"/>
      <c r="K340" s="127"/>
    </row>
    <row r="341">
      <c r="A341" s="121"/>
      <c r="B341" s="122"/>
      <c r="D341" s="123"/>
      <c r="E341" s="127"/>
      <c r="F341" s="125"/>
      <c r="G341" s="125"/>
      <c r="I341" s="126"/>
      <c r="J341" s="127"/>
      <c r="K341" s="127"/>
    </row>
    <row r="342">
      <c r="A342" s="121"/>
      <c r="B342" s="122"/>
      <c r="D342" s="123"/>
      <c r="E342" s="127"/>
      <c r="F342" s="125"/>
      <c r="G342" s="125"/>
      <c r="I342" s="126"/>
      <c r="J342" s="127"/>
      <c r="K342" s="127"/>
    </row>
    <row r="343">
      <c r="A343" s="121"/>
      <c r="B343" s="122"/>
      <c r="D343" s="123"/>
      <c r="E343" s="127"/>
      <c r="F343" s="125"/>
      <c r="G343" s="125"/>
      <c r="I343" s="126"/>
      <c r="J343" s="127"/>
      <c r="K343" s="127"/>
    </row>
    <row r="344">
      <c r="A344" s="121"/>
      <c r="B344" s="122"/>
      <c r="D344" s="123"/>
      <c r="E344" s="127"/>
      <c r="F344" s="125"/>
      <c r="G344" s="125"/>
      <c r="I344" s="126"/>
      <c r="J344" s="127"/>
      <c r="K344" s="127"/>
    </row>
    <row r="345">
      <c r="A345" s="121"/>
      <c r="B345" s="122"/>
      <c r="D345" s="123"/>
      <c r="E345" s="127"/>
      <c r="F345" s="125"/>
      <c r="G345" s="125"/>
      <c r="I345" s="126"/>
      <c r="J345" s="127"/>
      <c r="K345" s="127"/>
    </row>
    <row r="346">
      <c r="A346" s="121"/>
      <c r="B346" s="122"/>
      <c r="D346" s="123"/>
      <c r="E346" s="127"/>
      <c r="F346" s="125"/>
      <c r="G346" s="125"/>
      <c r="I346" s="126"/>
      <c r="J346" s="127"/>
      <c r="K346" s="127"/>
    </row>
    <row r="347">
      <c r="A347" s="121"/>
      <c r="B347" s="122"/>
      <c r="D347" s="123"/>
      <c r="E347" s="127"/>
      <c r="F347" s="125"/>
      <c r="G347" s="125"/>
      <c r="I347" s="126"/>
      <c r="J347" s="127"/>
      <c r="K347" s="127"/>
    </row>
    <row r="348">
      <c r="A348" s="121"/>
      <c r="B348" s="122"/>
      <c r="D348" s="123"/>
      <c r="E348" s="127"/>
      <c r="F348" s="125"/>
      <c r="G348" s="125"/>
      <c r="I348" s="126"/>
      <c r="J348" s="127"/>
      <c r="K348" s="127"/>
    </row>
    <row r="349">
      <c r="A349" s="121"/>
      <c r="B349" s="122"/>
      <c r="D349" s="123"/>
      <c r="E349" s="127"/>
      <c r="F349" s="125"/>
      <c r="G349" s="125"/>
      <c r="I349" s="126"/>
      <c r="J349" s="127"/>
      <c r="K349" s="127"/>
    </row>
    <row r="350">
      <c r="A350" s="121"/>
      <c r="B350" s="122"/>
      <c r="D350" s="123"/>
      <c r="E350" s="127"/>
      <c r="F350" s="125"/>
      <c r="G350" s="125"/>
      <c r="I350" s="126"/>
      <c r="J350" s="127"/>
      <c r="K350" s="127"/>
    </row>
    <row r="351">
      <c r="A351" s="121"/>
      <c r="B351" s="122"/>
      <c r="D351" s="123"/>
      <c r="E351" s="127"/>
      <c r="F351" s="125"/>
      <c r="G351" s="125"/>
      <c r="I351" s="126"/>
      <c r="J351" s="127"/>
      <c r="K351" s="127"/>
    </row>
    <row r="352">
      <c r="A352" s="121"/>
      <c r="B352" s="122"/>
      <c r="D352" s="123"/>
      <c r="E352" s="127"/>
      <c r="F352" s="125"/>
      <c r="G352" s="125"/>
      <c r="I352" s="126"/>
      <c r="J352" s="127"/>
      <c r="K352" s="127"/>
    </row>
    <row r="353">
      <c r="A353" s="121"/>
      <c r="B353" s="122"/>
      <c r="D353" s="123"/>
      <c r="E353" s="127"/>
      <c r="F353" s="125"/>
      <c r="G353" s="125"/>
      <c r="I353" s="126"/>
      <c r="J353" s="127"/>
      <c r="K353" s="127"/>
    </row>
    <row r="354">
      <c r="A354" s="121"/>
      <c r="B354" s="122"/>
      <c r="D354" s="123"/>
      <c r="E354" s="127"/>
      <c r="F354" s="125"/>
      <c r="G354" s="125"/>
      <c r="I354" s="126"/>
      <c r="J354" s="127"/>
      <c r="K354" s="127"/>
    </row>
    <row r="355">
      <c r="A355" s="121"/>
      <c r="B355" s="122"/>
      <c r="D355" s="123"/>
      <c r="E355" s="127"/>
      <c r="F355" s="125"/>
      <c r="G355" s="125"/>
      <c r="I355" s="126"/>
      <c r="J355" s="127"/>
      <c r="K355" s="127"/>
    </row>
    <row r="356">
      <c r="A356" s="121"/>
      <c r="B356" s="122"/>
      <c r="D356" s="123"/>
      <c r="E356" s="127"/>
      <c r="F356" s="125"/>
      <c r="G356" s="125"/>
      <c r="I356" s="126"/>
      <c r="J356" s="127"/>
      <c r="K356" s="127"/>
    </row>
    <row r="357">
      <c r="A357" s="121"/>
      <c r="B357" s="122"/>
      <c r="D357" s="123"/>
      <c r="E357" s="127"/>
      <c r="F357" s="125"/>
      <c r="G357" s="125"/>
      <c r="I357" s="126"/>
      <c r="J357" s="127"/>
      <c r="K357" s="127"/>
    </row>
    <row r="358">
      <c r="A358" s="121"/>
      <c r="B358" s="122"/>
      <c r="D358" s="123"/>
      <c r="E358" s="127"/>
      <c r="F358" s="125"/>
      <c r="G358" s="125"/>
      <c r="I358" s="126"/>
      <c r="J358" s="127"/>
      <c r="K358" s="127"/>
    </row>
    <row r="359">
      <c r="A359" s="121"/>
      <c r="B359" s="122"/>
      <c r="D359" s="123"/>
      <c r="E359" s="127"/>
      <c r="F359" s="125"/>
      <c r="G359" s="125"/>
      <c r="I359" s="126"/>
      <c r="J359" s="127"/>
      <c r="K359" s="127"/>
    </row>
    <row r="360">
      <c r="A360" s="121"/>
      <c r="B360" s="122"/>
      <c r="D360" s="123"/>
      <c r="E360" s="127"/>
      <c r="F360" s="125"/>
      <c r="G360" s="125"/>
      <c r="I360" s="126"/>
      <c r="J360" s="127"/>
      <c r="K360" s="127"/>
    </row>
    <row r="361">
      <c r="A361" s="121"/>
      <c r="B361" s="122"/>
      <c r="D361" s="123"/>
      <c r="E361" s="127"/>
      <c r="F361" s="125"/>
      <c r="G361" s="125"/>
      <c r="I361" s="126"/>
      <c r="J361" s="127"/>
      <c r="K361" s="127"/>
    </row>
    <row r="362">
      <c r="A362" s="121"/>
      <c r="B362" s="122"/>
      <c r="D362" s="123"/>
      <c r="E362" s="127"/>
      <c r="F362" s="125"/>
      <c r="G362" s="125"/>
      <c r="I362" s="126"/>
      <c r="J362" s="127"/>
      <c r="K362" s="127"/>
    </row>
    <row r="363">
      <c r="A363" s="121"/>
      <c r="B363" s="122"/>
      <c r="D363" s="123"/>
      <c r="E363" s="127"/>
      <c r="F363" s="125"/>
      <c r="G363" s="125"/>
      <c r="I363" s="126"/>
      <c r="J363" s="127"/>
      <c r="K363" s="127"/>
    </row>
    <row r="364">
      <c r="A364" s="121"/>
      <c r="B364" s="122"/>
      <c r="D364" s="123"/>
      <c r="E364" s="127"/>
      <c r="F364" s="125"/>
      <c r="G364" s="125"/>
      <c r="I364" s="126"/>
      <c r="J364" s="127"/>
      <c r="K364" s="127"/>
    </row>
    <row r="365">
      <c r="A365" s="121"/>
      <c r="B365" s="122"/>
      <c r="D365" s="123"/>
      <c r="E365" s="127"/>
      <c r="F365" s="125"/>
      <c r="G365" s="125"/>
      <c r="I365" s="126"/>
      <c r="J365" s="127"/>
      <c r="K365" s="127"/>
    </row>
    <row r="366">
      <c r="A366" s="121"/>
      <c r="B366" s="122"/>
      <c r="D366" s="123"/>
      <c r="E366" s="127"/>
      <c r="F366" s="125"/>
      <c r="G366" s="125"/>
      <c r="I366" s="126"/>
      <c r="J366" s="127"/>
      <c r="K366" s="127"/>
    </row>
    <row r="367">
      <c r="A367" s="121"/>
      <c r="B367" s="122"/>
      <c r="D367" s="123"/>
      <c r="E367" s="127"/>
      <c r="F367" s="125"/>
      <c r="G367" s="125"/>
      <c r="I367" s="126"/>
      <c r="J367" s="127"/>
      <c r="K367" s="127"/>
    </row>
    <row r="368">
      <c r="A368" s="121"/>
      <c r="B368" s="122"/>
      <c r="D368" s="123"/>
      <c r="E368" s="127"/>
      <c r="F368" s="125"/>
      <c r="G368" s="125"/>
      <c r="I368" s="126"/>
      <c r="J368" s="127"/>
      <c r="K368" s="127"/>
    </row>
    <row r="369">
      <c r="A369" s="121"/>
      <c r="B369" s="122"/>
      <c r="D369" s="123"/>
      <c r="E369" s="127"/>
      <c r="F369" s="125"/>
      <c r="G369" s="125"/>
      <c r="I369" s="126"/>
      <c r="J369" s="127"/>
      <c r="K369" s="127"/>
    </row>
    <row r="370">
      <c r="A370" s="121"/>
      <c r="B370" s="122"/>
      <c r="D370" s="123"/>
      <c r="E370" s="127"/>
      <c r="F370" s="125"/>
      <c r="G370" s="125"/>
      <c r="I370" s="126"/>
      <c r="J370" s="127"/>
      <c r="K370" s="127"/>
    </row>
    <row r="371">
      <c r="A371" s="121"/>
      <c r="B371" s="122"/>
      <c r="D371" s="123"/>
      <c r="E371" s="127"/>
      <c r="F371" s="125"/>
      <c r="G371" s="125"/>
      <c r="I371" s="126"/>
      <c r="J371" s="127"/>
      <c r="K371" s="127"/>
    </row>
    <row r="372">
      <c r="A372" s="121"/>
      <c r="B372" s="122"/>
      <c r="D372" s="123"/>
      <c r="E372" s="127"/>
      <c r="F372" s="125"/>
      <c r="G372" s="125"/>
      <c r="I372" s="126"/>
      <c r="J372" s="127"/>
      <c r="K372" s="127"/>
    </row>
    <row r="373">
      <c r="A373" s="121"/>
      <c r="B373" s="122"/>
      <c r="D373" s="123"/>
      <c r="E373" s="127"/>
      <c r="F373" s="125"/>
      <c r="G373" s="125"/>
      <c r="I373" s="126"/>
      <c r="J373" s="127"/>
      <c r="K373" s="127"/>
    </row>
    <row r="374">
      <c r="A374" s="121"/>
      <c r="B374" s="122"/>
      <c r="D374" s="123"/>
      <c r="E374" s="127"/>
      <c r="F374" s="125"/>
      <c r="G374" s="125"/>
      <c r="I374" s="126"/>
      <c r="J374" s="127"/>
      <c r="K374" s="127"/>
    </row>
    <row r="375">
      <c r="A375" s="121"/>
      <c r="B375" s="122"/>
      <c r="D375" s="123"/>
      <c r="E375" s="127"/>
      <c r="F375" s="125"/>
      <c r="G375" s="125"/>
      <c r="I375" s="126"/>
      <c r="J375" s="127"/>
      <c r="K375" s="127"/>
    </row>
    <row r="376">
      <c r="A376" s="121"/>
      <c r="B376" s="122"/>
      <c r="D376" s="123"/>
      <c r="E376" s="127"/>
      <c r="F376" s="125"/>
      <c r="G376" s="125"/>
      <c r="I376" s="126"/>
      <c r="J376" s="127"/>
      <c r="K376" s="127"/>
    </row>
    <row r="377">
      <c r="A377" s="121"/>
      <c r="B377" s="122"/>
      <c r="D377" s="123"/>
      <c r="E377" s="127"/>
      <c r="F377" s="125"/>
      <c r="G377" s="125"/>
      <c r="I377" s="126"/>
      <c r="J377" s="127"/>
      <c r="K377" s="127"/>
    </row>
    <row r="378">
      <c r="A378" s="121"/>
      <c r="B378" s="122"/>
      <c r="D378" s="123"/>
      <c r="E378" s="127"/>
      <c r="F378" s="125"/>
      <c r="G378" s="125"/>
      <c r="I378" s="126"/>
      <c r="J378" s="127"/>
      <c r="K378" s="127"/>
    </row>
    <row r="379">
      <c r="A379" s="121"/>
      <c r="B379" s="122"/>
      <c r="D379" s="123"/>
      <c r="E379" s="127"/>
      <c r="F379" s="125"/>
      <c r="G379" s="125"/>
      <c r="I379" s="126"/>
      <c r="J379" s="127"/>
      <c r="K379" s="127"/>
    </row>
    <row r="380">
      <c r="A380" s="121"/>
      <c r="B380" s="122"/>
      <c r="D380" s="123"/>
      <c r="E380" s="127"/>
      <c r="F380" s="125"/>
      <c r="G380" s="125"/>
      <c r="I380" s="126"/>
      <c r="J380" s="127"/>
      <c r="K380" s="127"/>
    </row>
    <row r="381">
      <c r="A381" s="121"/>
      <c r="B381" s="122"/>
      <c r="D381" s="123"/>
      <c r="E381" s="127"/>
      <c r="F381" s="125"/>
      <c r="G381" s="125"/>
      <c r="I381" s="126"/>
      <c r="J381" s="127"/>
      <c r="K381" s="127"/>
    </row>
    <row r="382">
      <c r="A382" s="121"/>
      <c r="B382" s="122"/>
      <c r="D382" s="123"/>
      <c r="E382" s="127"/>
      <c r="F382" s="125"/>
      <c r="G382" s="125"/>
      <c r="I382" s="126"/>
      <c r="J382" s="127"/>
      <c r="K382" s="127"/>
    </row>
    <row r="383">
      <c r="A383" s="121"/>
      <c r="B383" s="122"/>
      <c r="D383" s="123"/>
      <c r="E383" s="127"/>
      <c r="F383" s="125"/>
      <c r="G383" s="125"/>
      <c r="I383" s="126"/>
      <c r="J383" s="127"/>
      <c r="K383" s="127"/>
    </row>
    <row r="384">
      <c r="A384" s="121"/>
      <c r="B384" s="122"/>
      <c r="D384" s="123"/>
      <c r="E384" s="127"/>
      <c r="F384" s="125"/>
      <c r="G384" s="125"/>
      <c r="I384" s="126"/>
      <c r="J384" s="127"/>
      <c r="K384" s="127"/>
    </row>
    <row r="385">
      <c r="A385" s="121"/>
      <c r="B385" s="122"/>
      <c r="D385" s="123"/>
      <c r="E385" s="127"/>
      <c r="F385" s="125"/>
      <c r="G385" s="125"/>
      <c r="I385" s="126"/>
      <c r="J385" s="127"/>
      <c r="K385" s="127"/>
    </row>
    <row r="386">
      <c r="A386" s="121"/>
      <c r="B386" s="122"/>
      <c r="D386" s="123"/>
      <c r="E386" s="127"/>
      <c r="F386" s="125"/>
      <c r="G386" s="125"/>
      <c r="I386" s="126"/>
      <c r="J386" s="127"/>
      <c r="K386" s="127"/>
    </row>
    <row r="387">
      <c r="A387" s="121"/>
      <c r="B387" s="122"/>
      <c r="D387" s="123"/>
      <c r="E387" s="127"/>
      <c r="F387" s="125"/>
      <c r="G387" s="125"/>
      <c r="I387" s="126"/>
      <c r="J387" s="127"/>
      <c r="K387" s="127"/>
    </row>
    <row r="388">
      <c r="A388" s="121"/>
      <c r="B388" s="122"/>
      <c r="D388" s="123"/>
      <c r="E388" s="127"/>
      <c r="F388" s="125"/>
      <c r="G388" s="125"/>
      <c r="I388" s="126"/>
      <c r="J388" s="127"/>
      <c r="K388" s="127"/>
    </row>
    <row r="389">
      <c r="A389" s="121"/>
      <c r="B389" s="122"/>
      <c r="D389" s="123"/>
      <c r="E389" s="127"/>
      <c r="F389" s="125"/>
      <c r="G389" s="125"/>
      <c r="I389" s="126"/>
      <c r="J389" s="127"/>
      <c r="K389" s="127"/>
    </row>
    <row r="390">
      <c r="A390" s="121"/>
      <c r="B390" s="122"/>
      <c r="D390" s="123"/>
      <c r="E390" s="127"/>
      <c r="F390" s="125"/>
      <c r="G390" s="125"/>
      <c r="I390" s="126"/>
      <c r="J390" s="127"/>
      <c r="K390" s="127"/>
    </row>
    <row r="391">
      <c r="A391" s="121"/>
      <c r="B391" s="122"/>
      <c r="D391" s="123"/>
      <c r="E391" s="127"/>
      <c r="F391" s="125"/>
      <c r="G391" s="125"/>
      <c r="I391" s="126"/>
      <c r="J391" s="127"/>
      <c r="K391" s="127"/>
    </row>
    <row r="392">
      <c r="A392" s="121"/>
      <c r="B392" s="122"/>
      <c r="D392" s="123"/>
      <c r="E392" s="127"/>
      <c r="F392" s="125"/>
      <c r="G392" s="125"/>
      <c r="I392" s="126"/>
      <c r="J392" s="127"/>
      <c r="K392" s="127"/>
    </row>
    <row r="393">
      <c r="A393" s="121"/>
      <c r="B393" s="122"/>
      <c r="D393" s="123"/>
      <c r="E393" s="127"/>
      <c r="F393" s="125"/>
      <c r="G393" s="125"/>
      <c r="I393" s="126"/>
      <c r="J393" s="127"/>
      <c r="K393" s="127"/>
    </row>
    <row r="394">
      <c r="A394" s="121"/>
      <c r="B394" s="122"/>
      <c r="D394" s="123"/>
      <c r="E394" s="127"/>
      <c r="F394" s="125"/>
      <c r="G394" s="125"/>
      <c r="I394" s="126"/>
      <c r="J394" s="127"/>
      <c r="K394" s="127"/>
    </row>
    <row r="395">
      <c r="A395" s="121"/>
      <c r="B395" s="122"/>
      <c r="D395" s="123"/>
      <c r="E395" s="127"/>
      <c r="F395" s="125"/>
      <c r="G395" s="125"/>
      <c r="I395" s="126"/>
      <c r="J395" s="127"/>
      <c r="K395" s="127"/>
    </row>
    <row r="396">
      <c r="A396" s="121"/>
      <c r="B396" s="122"/>
      <c r="D396" s="123"/>
      <c r="E396" s="127"/>
      <c r="F396" s="125"/>
      <c r="G396" s="125"/>
      <c r="I396" s="126"/>
      <c r="J396" s="127"/>
      <c r="K396" s="127"/>
    </row>
    <row r="397">
      <c r="A397" s="121"/>
      <c r="B397" s="122"/>
      <c r="D397" s="123"/>
      <c r="E397" s="127"/>
      <c r="F397" s="125"/>
      <c r="G397" s="125"/>
      <c r="I397" s="126"/>
      <c r="J397" s="127"/>
      <c r="K397" s="127"/>
    </row>
    <row r="398">
      <c r="A398" s="121"/>
      <c r="B398" s="122"/>
      <c r="D398" s="123"/>
      <c r="E398" s="127"/>
      <c r="F398" s="125"/>
      <c r="G398" s="125"/>
      <c r="I398" s="126"/>
      <c r="J398" s="127"/>
      <c r="K398" s="127"/>
    </row>
    <row r="399">
      <c r="A399" s="121"/>
      <c r="B399" s="122"/>
      <c r="D399" s="123"/>
      <c r="E399" s="127"/>
      <c r="F399" s="125"/>
      <c r="G399" s="125"/>
      <c r="I399" s="126"/>
      <c r="J399" s="127"/>
      <c r="K399" s="127"/>
    </row>
    <row r="400">
      <c r="A400" s="121"/>
      <c r="B400" s="122"/>
      <c r="D400" s="123"/>
      <c r="E400" s="127"/>
      <c r="F400" s="125"/>
      <c r="G400" s="125"/>
      <c r="I400" s="126"/>
      <c r="J400" s="127"/>
      <c r="K400" s="127"/>
    </row>
    <row r="401">
      <c r="A401" s="121"/>
      <c r="B401" s="122"/>
      <c r="D401" s="123"/>
      <c r="E401" s="127"/>
      <c r="F401" s="125"/>
      <c r="G401" s="125"/>
      <c r="I401" s="126"/>
      <c r="J401" s="127"/>
      <c r="K401" s="127"/>
    </row>
    <row r="402">
      <c r="A402" s="121"/>
      <c r="B402" s="122"/>
      <c r="D402" s="123"/>
      <c r="E402" s="127"/>
      <c r="F402" s="125"/>
      <c r="G402" s="125"/>
      <c r="I402" s="126"/>
      <c r="J402" s="127"/>
      <c r="K402" s="127"/>
    </row>
    <row r="403">
      <c r="A403" s="121"/>
      <c r="B403" s="122"/>
      <c r="D403" s="123"/>
      <c r="E403" s="127"/>
      <c r="F403" s="125"/>
      <c r="G403" s="125"/>
      <c r="I403" s="126"/>
      <c r="J403" s="127"/>
      <c r="K403" s="127"/>
    </row>
    <row r="404">
      <c r="A404" s="121"/>
      <c r="B404" s="122"/>
      <c r="D404" s="123"/>
      <c r="E404" s="127"/>
      <c r="F404" s="125"/>
      <c r="G404" s="125"/>
      <c r="I404" s="126"/>
      <c r="J404" s="127"/>
      <c r="K404" s="127"/>
    </row>
    <row r="405">
      <c r="A405" s="121"/>
      <c r="B405" s="122"/>
      <c r="D405" s="123"/>
      <c r="E405" s="127"/>
      <c r="F405" s="125"/>
      <c r="G405" s="125"/>
      <c r="I405" s="126"/>
      <c r="J405" s="127"/>
      <c r="K405" s="127"/>
    </row>
    <row r="406">
      <c r="A406" s="121"/>
      <c r="B406" s="122"/>
      <c r="D406" s="123"/>
      <c r="E406" s="127"/>
      <c r="F406" s="125"/>
      <c r="G406" s="125"/>
      <c r="I406" s="126"/>
      <c r="J406" s="127"/>
      <c r="K406" s="127"/>
    </row>
    <row r="407">
      <c r="A407" s="121"/>
      <c r="B407" s="122"/>
      <c r="D407" s="123"/>
      <c r="E407" s="127"/>
      <c r="F407" s="125"/>
      <c r="G407" s="125"/>
      <c r="I407" s="126"/>
      <c r="J407" s="127"/>
      <c r="K407" s="127"/>
    </row>
    <row r="408">
      <c r="A408" s="121"/>
      <c r="B408" s="122"/>
      <c r="D408" s="123"/>
      <c r="E408" s="127"/>
      <c r="F408" s="125"/>
      <c r="G408" s="125"/>
      <c r="I408" s="126"/>
      <c r="J408" s="127"/>
      <c r="K408" s="127"/>
    </row>
    <row r="409">
      <c r="A409" s="121"/>
      <c r="B409" s="122"/>
      <c r="D409" s="123"/>
      <c r="E409" s="127"/>
      <c r="F409" s="125"/>
      <c r="G409" s="125"/>
      <c r="I409" s="126"/>
      <c r="J409" s="127"/>
      <c r="K409" s="127"/>
    </row>
    <row r="410">
      <c r="A410" s="121"/>
      <c r="B410" s="122"/>
      <c r="D410" s="123"/>
      <c r="E410" s="127"/>
      <c r="F410" s="125"/>
      <c r="G410" s="125"/>
      <c r="I410" s="126"/>
      <c r="J410" s="127"/>
      <c r="K410" s="127"/>
    </row>
    <row r="411">
      <c r="A411" s="121"/>
      <c r="B411" s="122"/>
      <c r="D411" s="123"/>
      <c r="E411" s="127"/>
      <c r="F411" s="125"/>
      <c r="G411" s="125"/>
      <c r="I411" s="126"/>
      <c r="J411" s="127"/>
      <c r="K411" s="127"/>
    </row>
    <row r="412">
      <c r="A412" s="121"/>
      <c r="B412" s="122"/>
      <c r="D412" s="123"/>
      <c r="E412" s="127"/>
      <c r="F412" s="125"/>
      <c r="G412" s="125"/>
      <c r="I412" s="126"/>
      <c r="J412" s="127"/>
      <c r="K412" s="127"/>
    </row>
    <row r="413">
      <c r="A413" s="121"/>
      <c r="B413" s="122"/>
      <c r="D413" s="123"/>
      <c r="E413" s="127"/>
      <c r="F413" s="125"/>
      <c r="G413" s="125"/>
      <c r="I413" s="126"/>
      <c r="J413" s="127"/>
      <c r="K413" s="127"/>
    </row>
    <row r="414">
      <c r="A414" s="121"/>
      <c r="B414" s="122"/>
      <c r="D414" s="123"/>
      <c r="E414" s="127"/>
      <c r="F414" s="125"/>
      <c r="G414" s="125"/>
      <c r="I414" s="126"/>
      <c r="J414" s="127"/>
      <c r="K414" s="127"/>
    </row>
    <row r="415">
      <c r="A415" s="121"/>
      <c r="B415" s="122"/>
      <c r="D415" s="123"/>
      <c r="E415" s="127"/>
      <c r="F415" s="125"/>
      <c r="G415" s="125"/>
      <c r="I415" s="126"/>
      <c r="J415" s="127"/>
      <c r="K415" s="127"/>
    </row>
    <row r="416">
      <c r="A416" s="121"/>
      <c r="B416" s="122"/>
      <c r="D416" s="123"/>
      <c r="E416" s="127"/>
      <c r="F416" s="125"/>
      <c r="G416" s="125"/>
      <c r="I416" s="126"/>
      <c r="J416" s="127"/>
      <c r="K416" s="127"/>
    </row>
    <row r="417">
      <c r="A417" s="121"/>
      <c r="B417" s="122"/>
      <c r="D417" s="123"/>
      <c r="E417" s="127"/>
      <c r="F417" s="125"/>
      <c r="G417" s="125"/>
      <c r="I417" s="126"/>
      <c r="J417" s="127"/>
      <c r="K417" s="127"/>
    </row>
    <row r="418">
      <c r="A418" s="121"/>
      <c r="B418" s="122"/>
      <c r="D418" s="123"/>
      <c r="E418" s="127"/>
      <c r="F418" s="125"/>
      <c r="G418" s="125"/>
      <c r="I418" s="126"/>
      <c r="J418" s="127"/>
      <c r="K418" s="127"/>
    </row>
    <row r="419">
      <c r="A419" s="121"/>
      <c r="B419" s="122"/>
      <c r="D419" s="123"/>
      <c r="E419" s="127"/>
      <c r="F419" s="125"/>
      <c r="G419" s="125"/>
      <c r="I419" s="126"/>
      <c r="J419" s="127"/>
      <c r="K419" s="127"/>
    </row>
    <row r="420">
      <c r="A420" s="121"/>
      <c r="B420" s="122"/>
      <c r="D420" s="123"/>
      <c r="E420" s="127"/>
      <c r="F420" s="125"/>
      <c r="G420" s="125"/>
      <c r="I420" s="126"/>
      <c r="J420" s="127"/>
      <c r="K420" s="127"/>
    </row>
    <row r="421">
      <c r="A421" s="121"/>
      <c r="B421" s="122"/>
      <c r="D421" s="123"/>
      <c r="E421" s="127"/>
      <c r="F421" s="125"/>
      <c r="G421" s="125"/>
      <c r="I421" s="126"/>
      <c r="J421" s="127"/>
      <c r="K421" s="127"/>
    </row>
    <row r="422">
      <c r="A422" s="121"/>
      <c r="B422" s="122"/>
      <c r="D422" s="123"/>
      <c r="E422" s="127"/>
      <c r="F422" s="125"/>
      <c r="G422" s="125"/>
      <c r="I422" s="126"/>
      <c r="J422" s="127"/>
      <c r="K422" s="127"/>
    </row>
    <row r="423">
      <c r="A423" s="121"/>
      <c r="B423" s="122"/>
      <c r="D423" s="123"/>
      <c r="E423" s="127"/>
      <c r="F423" s="125"/>
      <c r="G423" s="125"/>
      <c r="I423" s="126"/>
      <c r="J423" s="127"/>
      <c r="K423" s="127"/>
    </row>
    <row r="424">
      <c r="A424" s="121"/>
      <c r="B424" s="122"/>
      <c r="D424" s="123"/>
      <c r="E424" s="127"/>
      <c r="F424" s="125"/>
      <c r="G424" s="125"/>
      <c r="I424" s="126"/>
      <c r="J424" s="127"/>
      <c r="K424" s="127"/>
    </row>
    <row r="425">
      <c r="A425" s="121"/>
      <c r="B425" s="122"/>
      <c r="D425" s="123"/>
      <c r="E425" s="127"/>
      <c r="F425" s="125"/>
      <c r="G425" s="125"/>
      <c r="I425" s="126"/>
      <c r="J425" s="127"/>
      <c r="K425" s="127"/>
    </row>
    <row r="426">
      <c r="A426" s="121"/>
      <c r="B426" s="122"/>
      <c r="D426" s="123"/>
      <c r="E426" s="127"/>
      <c r="F426" s="125"/>
      <c r="G426" s="125"/>
      <c r="I426" s="126"/>
      <c r="J426" s="127"/>
      <c r="K426" s="127"/>
    </row>
    <row r="427">
      <c r="A427" s="121"/>
      <c r="B427" s="122"/>
      <c r="D427" s="123"/>
      <c r="E427" s="127"/>
      <c r="F427" s="125"/>
      <c r="G427" s="125"/>
      <c r="I427" s="126"/>
      <c r="J427" s="127"/>
      <c r="K427" s="127"/>
    </row>
    <row r="428">
      <c r="A428" s="121"/>
      <c r="B428" s="122"/>
      <c r="D428" s="123"/>
      <c r="E428" s="127"/>
      <c r="F428" s="125"/>
      <c r="G428" s="125"/>
      <c r="I428" s="126"/>
      <c r="J428" s="127"/>
      <c r="K428" s="127"/>
    </row>
    <row r="429">
      <c r="A429" s="121"/>
      <c r="B429" s="122"/>
      <c r="D429" s="123"/>
      <c r="E429" s="127"/>
      <c r="F429" s="125"/>
      <c r="G429" s="125"/>
      <c r="I429" s="126"/>
      <c r="J429" s="127"/>
      <c r="K429" s="127"/>
    </row>
    <row r="430">
      <c r="A430" s="121"/>
      <c r="B430" s="122"/>
      <c r="D430" s="123"/>
      <c r="E430" s="127"/>
      <c r="F430" s="125"/>
      <c r="G430" s="125"/>
      <c r="I430" s="126"/>
      <c r="J430" s="127"/>
      <c r="K430" s="127"/>
    </row>
    <row r="431">
      <c r="A431" s="121"/>
      <c r="B431" s="122"/>
      <c r="D431" s="123"/>
      <c r="E431" s="127"/>
      <c r="F431" s="125"/>
      <c r="G431" s="125"/>
      <c r="I431" s="126"/>
      <c r="J431" s="127"/>
      <c r="K431" s="127"/>
    </row>
    <row r="432">
      <c r="A432" s="121"/>
      <c r="B432" s="122"/>
      <c r="D432" s="123"/>
      <c r="E432" s="127"/>
      <c r="F432" s="125"/>
      <c r="G432" s="125"/>
      <c r="I432" s="126"/>
      <c r="J432" s="127"/>
      <c r="K432" s="127"/>
    </row>
    <row r="433">
      <c r="A433" s="121"/>
      <c r="B433" s="122"/>
      <c r="D433" s="123"/>
      <c r="E433" s="127"/>
      <c r="F433" s="125"/>
      <c r="G433" s="125"/>
      <c r="I433" s="126"/>
      <c r="J433" s="127"/>
      <c r="K433" s="127"/>
    </row>
    <row r="434">
      <c r="A434" s="121"/>
      <c r="B434" s="122"/>
      <c r="D434" s="123"/>
      <c r="E434" s="127"/>
      <c r="F434" s="125"/>
      <c r="G434" s="125"/>
      <c r="I434" s="126"/>
      <c r="J434" s="127"/>
      <c r="K434" s="127"/>
    </row>
    <row r="435">
      <c r="A435" s="121"/>
      <c r="B435" s="122"/>
      <c r="D435" s="123"/>
      <c r="E435" s="127"/>
      <c r="F435" s="125"/>
      <c r="G435" s="125"/>
      <c r="I435" s="126"/>
      <c r="J435" s="127"/>
      <c r="K435" s="127"/>
    </row>
    <row r="436">
      <c r="A436" s="121"/>
      <c r="B436" s="122"/>
      <c r="D436" s="123"/>
      <c r="E436" s="127"/>
      <c r="F436" s="125"/>
      <c r="G436" s="125"/>
      <c r="I436" s="126"/>
      <c r="J436" s="127"/>
      <c r="K436" s="127"/>
    </row>
    <row r="437">
      <c r="A437" s="121"/>
      <c r="B437" s="122"/>
      <c r="D437" s="123"/>
      <c r="E437" s="127"/>
      <c r="F437" s="125"/>
      <c r="G437" s="125"/>
      <c r="I437" s="126"/>
      <c r="J437" s="127"/>
      <c r="K437" s="127"/>
    </row>
    <row r="438">
      <c r="A438" s="121"/>
      <c r="B438" s="122"/>
      <c r="D438" s="123"/>
      <c r="E438" s="127"/>
      <c r="F438" s="125"/>
      <c r="G438" s="125"/>
      <c r="I438" s="126"/>
      <c r="J438" s="127"/>
      <c r="K438" s="127"/>
    </row>
    <row r="439">
      <c r="A439" s="121"/>
      <c r="B439" s="122"/>
      <c r="D439" s="123"/>
      <c r="E439" s="127"/>
      <c r="F439" s="125"/>
      <c r="G439" s="125"/>
      <c r="I439" s="126"/>
      <c r="J439" s="127"/>
      <c r="K439" s="127"/>
    </row>
    <row r="440">
      <c r="A440" s="121"/>
      <c r="B440" s="122"/>
      <c r="D440" s="123"/>
      <c r="E440" s="127"/>
      <c r="F440" s="125"/>
      <c r="G440" s="125"/>
      <c r="I440" s="126"/>
      <c r="J440" s="127"/>
      <c r="K440" s="127"/>
    </row>
    <row r="441">
      <c r="A441" s="121"/>
      <c r="B441" s="122"/>
      <c r="D441" s="123"/>
      <c r="E441" s="127"/>
      <c r="F441" s="125"/>
      <c r="G441" s="125"/>
      <c r="I441" s="126"/>
      <c r="J441" s="127"/>
      <c r="K441" s="127"/>
    </row>
    <row r="442">
      <c r="A442" s="121"/>
      <c r="B442" s="122"/>
      <c r="D442" s="123"/>
      <c r="E442" s="127"/>
      <c r="F442" s="125"/>
      <c r="G442" s="125"/>
      <c r="I442" s="126"/>
      <c r="J442" s="127"/>
      <c r="K442" s="127"/>
    </row>
    <row r="443">
      <c r="A443" s="121"/>
      <c r="B443" s="122"/>
      <c r="D443" s="123"/>
      <c r="E443" s="127"/>
      <c r="F443" s="125"/>
      <c r="G443" s="125"/>
      <c r="I443" s="126"/>
      <c r="J443" s="127"/>
      <c r="K443" s="127"/>
    </row>
    <row r="444">
      <c r="A444" s="121"/>
      <c r="B444" s="122"/>
      <c r="D444" s="123"/>
      <c r="E444" s="127"/>
      <c r="F444" s="125"/>
      <c r="G444" s="125"/>
      <c r="I444" s="126"/>
      <c r="J444" s="127"/>
      <c r="K444" s="127"/>
    </row>
    <row r="445">
      <c r="A445" s="121"/>
      <c r="B445" s="122"/>
      <c r="D445" s="123"/>
      <c r="E445" s="127"/>
      <c r="F445" s="125"/>
      <c r="G445" s="125"/>
      <c r="I445" s="126"/>
      <c r="J445" s="127"/>
      <c r="K445" s="127"/>
    </row>
    <row r="446">
      <c r="A446" s="121"/>
      <c r="B446" s="122"/>
      <c r="D446" s="123"/>
      <c r="E446" s="127"/>
      <c r="F446" s="125"/>
      <c r="G446" s="125"/>
      <c r="I446" s="126"/>
      <c r="J446" s="127"/>
      <c r="K446" s="127"/>
    </row>
    <row r="447">
      <c r="A447" s="121"/>
      <c r="B447" s="122"/>
      <c r="D447" s="123"/>
      <c r="E447" s="127"/>
      <c r="F447" s="125"/>
      <c r="G447" s="125"/>
      <c r="I447" s="126"/>
      <c r="J447" s="127"/>
      <c r="K447" s="127"/>
    </row>
    <row r="448">
      <c r="A448" s="121"/>
      <c r="B448" s="122"/>
      <c r="D448" s="123"/>
      <c r="E448" s="127"/>
      <c r="F448" s="125"/>
      <c r="G448" s="125"/>
      <c r="I448" s="126"/>
      <c r="J448" s="127"/>
      <c r="K448" s="127"/>
    </row>
    <row r="449">
      <c r="A449" s="121"/>
      <c r="B449" s="122"/>
      <c r="D449" s="123"/>
      <c r="E449" s="127"/>
      <c r="F449" s="125"/>
      <c r="G449" s="125"/>
      <c r="I449" s="126"/>
      <c r="J449" s="127"/>
      <c r="K449" s="127"/>
    </row>
    <row r="450">
      <c r="A450" s="121"/>
      <c r="B450" s="122"/>
      <c r="D450" s="123"/>
      <c r="E450" s="127"/>
      <c r="F450" s="125"/>
      <c r="G450" s="125"/>
      <c r="I450" s="126"/>
      <c r="J450" s="127"/>
      <c r="K450" s="127"/>
    </row>
    <row r="451">
      <c r="A451" s="121"/>
      <c r="B451" s="122"/>
      <c r="D451" s="123"/>
      <c r="E451" s="127"/>
      <c r="F451" s="125"/>
      <c r="G451" s="125"/>
      <c r="I451" s="126"/>
      <c r="J451" s="127"/>
      <c r="K451" s="127"/>
    </row>
    <row r="452">
      <c r="A452" s="121"/>
      <c r="B452" s="122"/>
      <c r="D452" s="123"/>
      <c r="E452" s="127"/>
      <c r="F452" s="125"/>
      <c r="G452" s="125"/>
      <c r="I452" s="126"/>
      <c r="J452" s="127"/>
      <c r="K452" s="127"/>
    </row>
    <row r="453">
      <c r="A453" s="121"/>
      <c r="B453" s="122"/>
      <c r="D453" s="123"/>
      <c r="E453" s="127"/>
      <c r="F453" s="125"/>
      <c r="G453" s="125"/>
      <c r="I453" s="126"/>
      <c r="J453" s="127"/>
      <c r="K453" s="127"/>
    </row>
    <row r="454">
      <c r="A454" s="121"/>
      <c r="B454" s="122"/>
      <c r="D454" s="123"/>
      <c r="E454" s="127"/>
      <c r="F454" s="125"/>
      <c r="G454" s="125"/>
      <c r="I454" s="126"/>
      <c r="J454" s="127"/>
      <c r="K454" s="127"/>
    </row>
    <row r="455">
      <c r="A455" s="121"/>
      <c r="B455" s="122"/>
      <c r="D455" s="123"/>
      <c r="E455" s="127"/>
      <c r="F455" s="125"/>
      <c r="G455" s="125"/>
      <c r="I455" s="126"/>
      <c r="J455" s="127"/>
      <c r="K455" s="127"/>
    </row>
    <row r="456">
      <c r="A456" s="121"/>
      <c r="B456" s="122"/>
      <c r="D456" s="123"/>
      <c r="E456" s="127"/>
      <c r="F456" s="125"/>
      <c r="G456" s="125"/>
      <c r="I456" s="126"/>
      <c r="J456" s="127"/>
      <c r="K456" s="127"/>
    </row>
    <row r="457">
      <c r="A457" s="121"/>
      <c r="B457" s="122"/>
      <c r="D457" s="123"/>
      <c r="E457" s="127"/>
      <c r="F457" s="125"/>
      <c r="G457" s="125"/>
      <c r="I457" s="126"/>
      <c r="J457" s="127"/>
      <c r="K457" s="127"/>
    </row>
    <row r="458">
      <c r="A458" s="121"/>
      <c r="B458" s="122"/>
      <c r="D458" s="123"/>
      <c r="E458" s="127"/>
      <c r="F458" s="125"/>
      <c r="G458" s="125"/>
      <c r="I458" s="126"/>
      <c r="J458" s="127"/>
      <c r="K458" s="127"/>
    </row>
    <row r="459">
      <c r="A459" s="121"/>
      <c r="B459" s="122"/>
      <c r="D459" s="123"/>
      <c r="E459" s="127"/>
      <c r="F459" s="125"/>
      <c r="G459" s="125"/>
      <c r="I459" s="126"/>
      <c r="J459" s="127"/>
      <c r="K459" s="127"/>
    </row>
    <row r="460">
      <c r="A460" s="121"/>
      <c r="B460" s="122"/>
      <c r="D460" s="123"/>
      <c r="E460" s="127"/>
      <c r="F460" s="125"/>
      <c r="G460" s="125"/>
      <c r="I460" s="126"/>
      <c r="J460" s="127"/>
      <c r="K460" s="127"/>
    </row>
    <row r="461">
      <c r="A461" s="121"/>
      <c r="B461" s="122"/>
      <c r="D461" s="123"/>
      <c r="E461" s="127"/>
      <c r="F461" s="125"/>
      <c r="G461" s="125"/>
      <c r="I461" s="126"/>
      <c r="J461" s="127"/>
      <c r="K461" s="127"/>
    </row>
    <row r="462">
      <c r="A462" s="121"/>
      <c r="B462" s="122"/>
      <c r="D462" s="123"/>
      <c r="E462" s="127"/>
      <c r="F462" s="125"/>
      <c r="G462" s="125"/>
      <c r="I462" s="126"/>
      <c r="J462" s="127"/>
      <c r="K462" s="127"/>
    </row>
    <row r="463">
      <c r="A463" s="121"/>
      <c r="B463" s="122"/>
      <c r="D463" s="123"/>
      <c r="E463" s="127"/>
      <c r="F463" s="125"/>
      <c r="G463" s="125"/>
      <c r="I463" s="126"/>
      <c r="J463" s="127"/>
      <c r="K463" s="127"/>
    </row>
    <row r="464">
      <c r="A464" s="121"/>
      <c r="B464" s="122"/>
      <c r="D464" s="123"/>
      <c r="E464" s="127"/>
      <c r="F464" s="125"/>
      <c r="G464" s="125"/>
      <c r="I464" s="126"/>
      <c r="J464" s="127"/>
      <c r="K464" s="127"/>
    </row>
    <row r="465">
      <c r="A465" s="121"/>
      <c r="B465" s="122"/>
      <c r="D465" s="123"/>
      <c r="E465" s="127"/>
      <c r="F465" s="125"/>
      <c r="G465" s="125"/>
      <c r="I465" s="126"/>
      <c r="J465" s="127"/>
      <c r="K465" s="127"/>
    </row>
    <row r="466">
      <c r="A466" s="121"/>
      <c r="B466" s="122"/>
      <c r="D466" s="123"/>
      <c r="E466" s="127"/>
      <c r="F466" s="125"/>
      <c r="G466" s="125"/>
      <c r="I466" s="126"/>
      <c r="J466" s="127"/>
      <c r="K466" s="127"/>
    </row>
    <row r="467">
      <c r="A467" s="121"/>
      <c r="B467" s="122"/>
      <c r="D467" s="123"/>
      <c r="E467" s="127"/>
      <c r="F467" s="125"/>
      <c r="G467" s="125"/>
      <c r="I467" s="126"/>
      <c r="J467" s="127"/>
      <c r="K467" s="127"/>
    </row>
    <row r="468">
      <c r="A468" s="121"/>
      <c r="B468" s="122"/>
      <c r="D468" s="123"/>
      <c r="E468" s="127"/>
      <c r="F468" s="125"/>
      <c r="G468" s="125"/>
      <c r="I468" s="126"/>
      <c r="J468" s="127"/>
      <c r="K468" s="127"/>
    </row>
    <row r="469">
      <c r="A469" s="121"/>
      <c r="B469" s="122"/>
      <c r="D469" s="123"/>
      <c r="E469" s="127"/>
      <c r="F469" s="125"/>
      <c r="G469" s="125"/>
      <c r="I469" s="126"/>
      <c r="J469" s="127"/>
      <c r="K469" s="127"/>
    </row>
    <row r="470">
      <c r="A470" s="121"/>
      <c r="B470" s="122"/>
      <c r="D470" s="123"/>
      <c r="E470" s="127"/>
      <c r="F470" s="125"/>
      <c r="G470" s="125"/>
      <c r="I470" s="126"/>
      <c r="J470" s="127"/>
      <c r="K470" s="127"/>
    </row>
    <row r="471">
      <c r="A471" s="121"/>
      <c r="B471" s="122"/>
      <c r="D471" s="123"/>
      <c r="E471" s="127"/>
      <c r="F471" s="125"/>
      <c r="G471" s="125"/>
      <c r="I471" s="126"/>
      <c r="J471" s="127"/>
      <c r="K471" s="127"/>
    </row>
    <row r="472">
      <c r="A472" s="121"/>
      <c r="B472" s="122"/>
      <c r="D472" s="123"/>
      <c r="E472" s="127"/>
      <c r="F472" s="125"/>
      <c r="G472" s="125"/>
      <c r="I472" s="126"/>
      <c r="J472" s="127"/>
      <c r="K472" s="127"/>
    </row>
    <row r="473">
      <c r="A473" s="121"/>
      <c r="B473" s="122"/>
      <c r="D473" s="123"/>
      <c r="E473" s="127"/>
      <c r="F473" s="125"/>
      <c r="G473" s="125"/>
      <c r="I473" s="126"/>
      <c r="J473" s="127"/>
      <c r="K473" s="127"/>
    </row>
    <row r="474">
      <c r="A474" s="121"/>
      <c r="B474" s="122"/>
      <c r="D474" s="123"/>
      <c r="E474" s="127"/>
      <c r="F474" s="125"/>
      <c r="G474" s="125"/>
      <c r="I474" s="126"/>
      <c r="J474" s="127"/>
      <c r="K474" s="127"/>
    </row>
    <row r="475">
      <c r="A475" s="121"/>
      <c r="B475" s="122"/>
      <c r="D475" s="123"/>
      <c r="E475" s="127"/>
      <c r="F475" s="125"/>
      <c r="G475" s="125"/>
      <c r="I475" s="126"/>
      <c r="J475" s="127"/>
      <c r="K475" s="127"/>
    </row>
    <row r="476">
      <c r="A476" s="121"/>
      <c r="B476" s="122"/>
      <c r="D476" s="123"/>
      <c r="E476" s="127"/>
      <c r="F476" s="125"/>
      <c r="G476" s="125"/>
      <c r="I476" s="126"/>
      <c r="J476" s="127"/>
      <c r="K476" s="127"/>
    </row>
    <row r="477">
      <c r="A477" s="121"/>
      <c r="B477" s="122"/>
      <c r="D477" s="123"/>
      <c r="E477" s="127"/>
      <c r="F477" s="125"/>
      <c r="G477" s="125"/>
      <c r="I477" s="126"/>
      <c r="J477" s="127"/>
      <c r="K477" s="127"/>
    </row>
    <row r="478">
      <c r="A478" s="121"/>
      <c r="B478" s="122"/>
      <c r="D478" s="123"/>
      <c r="E478" s="127"/>
      <c r="F478" s="125"/>
      <c r="G478" s="125"/>
      <c r="I478" s="126"/>
      <c r="J478" s="127"/>
      <c r="K478" s="127"/>
    </row>
    <row r="479">
      <c r="A479" s="121"/>
      <c r="B479" s="122"/>
      <c r="D479" s="123"/>
      <c r="E479" s="127"/>
      <c r="F479" s="125"/>
      <c r="G479" s="125"/>
      <c r="I479" s="126"/>
      <c r="J479" s="127"/>
      <c r="K479" s="127"/>
    </row>
    <row r="480">
      <c r="A480" s="121"/>
      <c r="B480" s="122"/>
      <c r="D480" s="123"/>
      <c r="E480" s="127"/>
      <c r="F480" s="125"/>
      <c r="G480" s="125"/>
      <c r="I480" s="126"/>
      <c r="J480" s="127"/>
      <c r="K480" s="127"/>
    </row>
    <row r="481">
      <c r="A481" s="121"/>
      <c r="B481" s="122"/>
      <c r="D481" s="123"/>
      <c r="E481" s="127"/>
      <c r="F481" s="125"/>
      <c r="G481" s="125"/>
      <c r="I481" s="126"/>
      <c r="J481" s="127"/>
      <c r="K481" s="127"/>
    </row>
    <row r="482">
      <c r="A482" s="121"/>
      <c r="B482" s="122"/>
      <c r="D482" s="123"/>
      <c r="E482" s="127"/>
      <c r="F482" s="125"/>
      <c r="G482" s="125"/>
      <c r="I482" s="126"/>
      <c r="J482" s="127"/>
      <c r="K482" s="127"/>
    </row>
    <row r="483">
      <c r="A483" s="121"/>
      <c r="B483" s="122"/>
      <c r="D483" s="123"/>
      <c r="E483" s="127"/>
      <c r="F483" s="125"/>
      <c r="G483" s="125"/>
      <c r="I483" s="126"/>
      <c r="J483" s="127"/>
      <c r="K483" s="127"/>
    </row>
    <row r="484">
      <c r="A484" s="121"/>
      <c r="B484" s="122"/>
      <c r="D484" s="123"/>
      <c r="E484" s="127"/>
      <c r="F484" s="125"/>
      <c r="G484" s="125"/>
      <c r="I484" s="126"/>
      <c r="J484" s="127"/>
      <c r="K484" s="127"/>
    </row>
    <row r="485">
      <c r="A485" s="121"/>
      <c r="B485" s="122"/>
      <c r="D485" s="123"/>
      <c r="E485" s="127"/>
      <c r="F485" s="125"/>
      <c r="G485" s="125"/>
      <c r="I485" s="126"/>
      <c r="J485" s="127"/>
      <c r="K485" s="127"/>
    </row>
    <row r="486">
      <c r="A486" s="121"/>
      <c r="B486" s="122"/>
      <c r="D486" s="123"/>
      <c r="E486" s="127"/>
      <c r="F486" s="125"/>
      <c r="G486" s="125"/>
      <c r="I486" s="126"/>
      <c r="J486" s="127"/>
      <c r="K486" s="127"/>
    </row>
    <row r="487">
      <c r="A487" s="121"/>
      <c r="B487" s="122"/>
      <c r="D487" s="123"/>
      <c r="E487" s="127"/>
      <c r="F487" s="125"/>
      <c r="G487" s="125"/>
      <c r="I487" s="126"/>
      <c r="J487" s="127"/>
      <c r="K487" s="127"/>
    </row>
    <row r="488">
      <c r="A488" s="121"/>
      <c r="B488" s="122"/>
      <c r="D488" s="123"/>
      <c r="E488" s="127"/>
      <c r="F488" s="125"/>
      <c r="G488" s="125"/>
      <c r="I488" s="126"/>
      <c r="J488" s="127"/>
      <c r="K488" s="127"/>
    </row>
    <row r="489">
      <c r="A489" s="121"/>
      <c r="B489" s="122"/>
      <c r="D489" s="123"/>
      <c r="E489" s="127"/>
      <c r="F489" s="125"/>
      <c r="G489" s="125"/>
      <c r="I489" s="126"/>
      <c r="J489" s="127"/>
      <c r="K489" s="127"/>
    </row>
    <row r="490">
      <c r="A490" s="121"/>
      <c r="B490" s="122"/>
      <c r="D490" s="123"/>
      <c r="E490" s="127"/>
      <c r="F490" s="125"/>
      <c r="G490" s="125"/>
      <c r="I490" s="126"/>
      <c r="J490" s="127"/>
      <c r="K490" s="127"/>
    </row>
    <row r="491">
      <c r="A491" s="121"/>
      <c r="B491" s="122"/>
      <c r="D491" s="123"/>
      <c r="E491" s="127"/>
      <c r="F491" s="125"/>
      <c r="G491" s="125"/>
      <c r="I491" s="126"/>
      <c r="J491" s="127"/>
      <c r="K491" s="127"/>
    </row>
    <row r="492">
      <c r="A492" s="121"/>
      <c r="B492" s="122"/>
      <c r="D492" s="123"/>
      <c r="E492" s="127"/>
      <c r="F492" s="125"/>
      <c r="G492" s="125"/>
      <c r="I492" s="126"/>
      <c r="J492" s="127"/>
      <c r="K492" s="127"/>
    </row>
    <row r="493">
      <c r="A493" s="121"/>
      <c r="B493" s="122"/>
      <c r="D493" s="123"/>
      <c r="E493" s="127"/>
      <c r="F493" s="125"/>
      <c r="G493" s="125"/>
      <c r="I493" s="126"/>
      <c r="J493" s="127"/>
      <c r="K493" s="127"/>
    </row>
    <row r="494">
      <c r="A494" s="121"/>
      <c r="B494" s="122"/>
      <c r="D494" s="123"/>
      <c r="E494" s="127"/>
      <c r="F494" s="125"/>
      <c r="G494" s="125"/>
      <c r="I494" s="126"/>
      <c r="J494" s="127"/>
      <c r="K494" s="127"/>
    </row>
    <row r="495">
      <c r="A495" s="121"/>
      <c r="B495" s="122"/>
      <c r="D495" s="123"/>
      <c r="E495" s="127"/>
      <c r="F495" s="125"/>
      <c r="G495" s="125"/>
      <c r="I495" s="126"/>
      <c r="J495" s="127"/>
      <c r="K495" s="127"/>
    </row>
    <row r="496">
      <c r="A496" s="121"/>
      <c r="B496" s="122"/>
      <c r="D496" s="123"/>
      <c r="E496" s="127"/>
      <c r="F496" s="125"/>
      <c r="G496" s="125"/>
      <c r="I496" s="126"/>
      <c r="J496" s="127"/>
      <c r="K496" s="127"/>
    </row>
    <row r="497">
      <c r="A497" s="121"/>
      <c r="B497" s="122"/>
      <c r="D497" s="123"/>
      <c r="E497" s="127"/>
      <c r="F497" s="125"/>
      <c r="G497" s="125"/>
      <c r="I497" s="126"/>
      <c r="J497" s="127"/>
      <c r="K497" s="127"/>
    </row>
    <row r="498">
      <c r="A498" s="121"/>
      <c r="B498" s="122"/>
      <c r="D498" s="123"/>
      <c r="E498" s="127"/>
      <c r="F498" s="125"/>
      <c r="G498" s="125"/>
      <c r="I498" s="126"/>
      <c r="J498" s="127"/>
      <c r="K498" s="127"/>
    </row>
    <row r="499">
      <c r="A499" s="121"/>
      <c r="B499" s="122"/>
      <c r="D499" s="123"/>
      <c r="E499" s="127"/>
      <c r="F499" s="125"/>
      <c r="G499" s="125"/>
      <c r="I499" s="126"/>
      <c r="J499" s="127"/>
      <c r="K499" s="127"/>
    </row>
    <row r="500">
      <c r="A500" s="121"/>
      <c r="B500" s="122"/>
      <c r="D500" s="123"/>
      <c r="E500" s="127"/>
      <c r="F500" s="125"/>
      <c r="G500" s="125"/>
      <c r="I500" s="126"/>
      <c r="J500" s="127"/>
      <c r="K500" s="127"/>
    </row>
    <row r="501">
      <c r="A501" s="121"/>
      <c r="B501" s="122"/>
      <c r="D501" s="123"/>
      <c r="E501" s="127"/>
      <c r="F501" s="125"/>
      <c r="G501" s="125"/>
      <c r="I501" s="126"/>
      <c r="J501" s="127"/>
      <c r="K501" s="127"/>
    </row>
    <row r="502">
      <c r="A502" s="121"/>
      <c r="B502" s="122"/>
      <c r="D502" s="123"/>
      <c r="E502" s="127"/>
      <c r="F502" s="125"/>
      <c r="G502" s="125"/>
      <c r="I502" s="126"/>
      <c r="J502" s="127"/>
      <c r="K502" s="127"/>
    </row>
    <row r="503">
      <c r="A503" s="121"/>
      <c r="B503" s="122"/>
      <c r="D503" s="123"/>
      <c r="E503" s="127"/>
      <c r="F503" s="125"/>
      <c r="G503" s="125"/>
      <c r="I503" s="126"/>
      <c r="J503" s="127"/>
      <c r="K503" s="127"/>
    </row>
    <row r="504">
      <c r="A504" s="121"/>
      <c r="B504" s="122"/>
      <c r="D504" s="123"/>
      <c r="E504" s="127"/>
      <c r="F504" s="125"/>
      <c r="G504" s="125"/>
      <c r="I504" s="126"/>
      <c r="J504" s="127"/>
      <c r="K504" s="127"/>
    </row>
    <row r="505">
      <c r="A505" s="121"/>
      <c r="B505" s="122"/>
      <c r="D505" s="123"/>
      <c r="E505" s="127"/>
      <c r="F505" s="125"/>
      <c r="G505" s="125"/>
      <c r="I505" s="126"/>
      <c r="J505" s="127"/>
      <c r="K505" s="127"/>
    </row>
    <row r="506">
      <c r="A506" s="121"/>
      <c r="B506" s="122"/>
      <c r="D506" s="123"/>
      <c r="E506" s="127"/>
      <c r="F506" s="125"/>
      <c r="G506" s="125"/>
      <c r="I506" s="126"/>
      <c r="J506" s="127"/>
      <c r="K506" s="127"/>
    </row>
    <row r="507">
      <c r="A507" s="121"/>
      <c r="B507" s="122"/>
      <c r="D507" s="123"/>
      <c r="E507" s="127"/>
      <c r="F507" s="125"/>
      <c r="G507" s="125"/>
      <c r="I507" s="126"/>
      <c r="J507" s="127"/>
      <c r="K507" s="127"/>
    </row>
    <row r="508">
      <c r="A508" s="121"/>
      <c r="B508" s="122"/>
      <c r="D508" s="123"/>
      <c r="E508" s="127"/>
      <c r="F508" s="125"/>
      <c r="G508" s="125"/>
      <c r="I508" s="126"/>
      <c r="J508" s="127"/>
      <c r="K508" s="127"/>
    </row>
    <row r="509">
      <c r="A509" s="121"/>
      <c r="B509" s="122"/>
      <c r="D509" s="123"/>
      <c r="E509" s="127"/>
      <c r="F509" s="125"/>
      <c r="G509" s="125"/>
      <c r="I509" s="126"/>
      <c r="J509" s="127"/>
      <c r="K509" s="127"/>
    </row>
    <row r="510">
      <c r="A510" s="121"/>
      <c r="B510" s="122"/>
      <c r="D510" s="123"/>
      <c r="E510" s="127"/>
      <c r="F510" s="125"/>
      <c r="G510" s="125"/>
      <c r="I510" s="126"/>
      <c r="J510" s="127"/>
      <c r="K510" s="127"/>
    </row>
    <row r="511">
      <c r="A511" s="121"/>
      <c r="B511" s="122"/>
      <c r="D511" s="123"/>
      <c r="E511" s="127"/>
      <c r="F511" s="125"/>
      <c r="G511" s="125"/>
      <c r="I511" s="126"/>
      <c r="J511" s="127"/>
      <c r="K511" s="127"/>
    </row>
    <row r="512">
      <c r="A512" s="121"/>
      <c r="B512" s="122"/>
      <c r="D512" s="123"/>
      <c r="E512" s="127"/>
      <c r="F512" s="125"/>
      <c r="G512" s="125"/>
      <c r="I512" s="126"/>
      <c r="J512" s="127"/>
      <c r="K512" s="127"/>
    </row>
    <row r="513">
      <c r="A513" s="121"/>
      <c r="B513" s="122"/>
      <c r="D513" s="123"/>
      <c r="E513" s="127"/>
      <c r="F513" s="125"/>
      <c r="G513" s="125"/>
      <c r="I513" s="126"/>
      <c r="J513" s="127"/>
      <c r="K513" s="127"/>
    </row>
    <row r="514">
      <c r="A514" s="121"/>
      <c r="B514" s="122"/>
      <c r="D514" s="123"/>
      <c r="E514" s="127"/>
      <c r="F514" s="125"/>
      <c r="G514" s="125"/>
      <c r="I514" s="126"/>
      <c r="J514" s="127"/>
      <c r="K514" s="127"/>
    </row>
    <row r="515">
      <c r="A515" s="121"/>
      <c r="B515" s="122"/>
      <c r="D515" s="123"/>
      <c r="E515" s="127"/>
      <c r="F515" s="125"/>
      <c r="G515" s="125"/>
      <c r="I515" s="126"/>
      <c r="J515" s="127"/>
      <c r="K515" s="127"/>
    </row>
    <row r="516">
      <c r="A516" s="121"/>
      <c r="B516" s="122"/>
      <c r="D516" s="123"/>
      <c r="E516" s="127"/>
      <c r="F516" s="125"/>
      <c r="G516" s="125"/>
      <c r="I516" s="126"/>
      <c r="J516" s="127"/>
      <c r="K516" s="127"/>
    </row>
    <row r="517">
      <c r="A517" s="121"/>
      <c r="B517" s="122"/>
      <c r="D517" s="123"/>
      <c r="E517" s="127"/>
      <c r="F517" s="125"/>
      <c r="G517" s="125"/>
      <c r="I517" s="126"/>
      <c r="J517" s="127"/>
      <c r="K517" s="127"/>
    </row>
    <row r="518">
      <c r="A518" s="121"/>
      <c r="B518" s="122"/>
      <c r="D518" s="123"/>
      <c r="E518" s="127"/>
      <c r="F518" s="125"/>
      <c r="G518" s="125"/>
      <c r="I518" s="126"/>
      <c r="J518" s="127"/>
      <c r="K518" s="127"/>
    </row>
    <row r="519">
      <c r="A519" s="121"/>
      <c r="B519" s="122"/>
      <c r="D519" s="123"/>
      <c r="E519" s="127"/>
      <c r="F519" s="125"/>
      <c r="G519" s="125"/>
      <c r="I519" s="126"/>
      <c r="J519" s="127"/>
      <c r="K519" s="127"/>
    </row>
    <row r="520">
      <c r="A520" s="121"/>
      <c r="B520" s="122"/>
      <c r="D520" s="123"/>
      <c r="E520" s="127"/>
      <c r="F520" s="125"/>
      <c r="G520" s="125"/>
      <c r="I520" s="126"/>
      <c r="J520" s="127"/>
      <c r="K520" s="127"/>
    </row>
    <row r="521">
      <c r="A521" s="121"/>
      <c r="B521" s="122"/>
      <c r="D521" s="123"/>
      <c r="E521" s="127"/>
      <c r="F521" s="125"/>
      <c r="G521" s="125"/>
      <c r="I521" s="126"/>
      <c r="J521" s="127"/>
      <c r="K521" s="127"/>
    </row>
    <row r="522">
      <c r="A522" s="121"/>
      <c r="B522" s="122"/>
      <c r="D522" s="123"/>
      <c r="E522" s="127"/>
      <c r="F522" s="125"/>
      <c r="G522" s="125"/>
      <c r="I522" s="126"/>
      <c r="J522" s="127"/>
      <c r="K522" s="127"/>
    </row>
    <row r="523">
      <c r="A523" s="121"/>
      <c r="B523" s="122"/>
      <c r="D523" s="123"/>
      <c r="E523" s="127"/>
      <c r="F523" s="125"/>
      <c r="G523" s="125"/>
      <c r="I523" s="126"/>
      <c r="J523" s="127"/>
      <c r="K523" s="127"/>
    </row>
    <row r="524">
      <c r="A524" s="121"/>
      <c r="B524" s="122"/>
      <c r="D524" s="123"/>
      <c r="E524" s="127"/>
      <c r="F524" s="125"/>
      <c r="G524" s="125"/>
      <c r="I524" s="126"/>
      <c r="J524" s="127"/>
      <c r="K524" s="127"/>
    </row>
    <row r="525">
      <c r="A525" s="121"/>
      <c r="B525" s="122"/>
      <c r="D525" s="123"/>
      <c r="E525" s="127"/>
      <c r="F525" s="125"/>
      <c r="G525" s="125"/>
      <c r="I525" s="126"/>
      <c r="J525" s="127"/>
      <c r="K525" s="127"/>
    </row>
    <row r="526">
      <c r="A526" s="121"/>
      <c r="B526" s="122"/>
      <c r="D526" s="123"/>
      <c r="E526" s="127"/>
      <c r="F526" s="125"/>
      <c r="G526" s="125"/>
      <c r="I526" s="126"/>
      <c r="J526" s="127"/>
      <c r="K526" s="127"/>
    </row>
    <row r="527">
      <c r="A527" s="121"/>
      <c r="B527" s="122"/>
      <c r="D527" s="123"/>
      <c r="E527" s="127"/>
      <c r="F527" s="125"/>
      <c r="G527" s="125"/>
      <c r="I527" s="126"/>
      <c r="J527" s="127"/>
      <c r="K527" s="127"/>
    </row>
    <row r="528">
      <c r="A528" s="121"/>
      <c r="B528" s="122"/>
      <c r="D528" s="123"/>
      <c r="E528" s="127"/>
      <c r="F528" s="125"/>
      <c r="G528" s="125"/>
      <c r="I528" s="126"/>
      <c r="J528" s="127"/>
      <c r="K528" s="127"/>
    </row>
    <row r="529">
      <c r="A529" s="121"/>
      <c r="B529" s="122"/>
      <c r="D529" s="123"/>
      <c r="E529" s="127"/>
      <c r="F529" s="125"/>
      <c r="G529" s="125"/>
      <c r="I529" s="126"/>
      <c r="J529" s="127"/>
      <c r="K529" s="127"/>
    </row>
    <row r="530">
      <c r="A530" s="121"/>
      <c r="B530" s="122"/>
      <c r="D530" s="123"/>
      <c r="E530" s="127"/>
      <c r="F530" s="125"/>
      <c r="G530" s="125"/>
      <c r="I530" s="126"/>
      <c r="J530" s="127"/>
      <c r="K530" s="127"/>
    </row>
    <row r="531">
      <c r="A531" s="121"/>
      <c r="B531" s="122"/>
      <c r="D531" s="123"/>
      <c r="E531" s="127"/>
      <c r="F531" s="125"/>
      <c r="G531" s="125"/>
      <c r="I531" s="126"/>
      <c r="J531" s="127"/>
      <c r="K531" s="127"/>
    </row>
    <row r="532">
      <c r="A532" s="121"/>
      <c r="B532" s="122"/>
      <c r="D532" s="123"/>
      <c r="E532" s="127"/>
      <c r="F532" s="125"/>
      <c r="G532" s="125"/>
      <c r="I532" s="126"/>
      <c r="J532" s="127"/>
      <c r="K532" s="127"/>
    </row>
    <row r="533">
      <c r="A533" s="121"/>
      <c r="B533" s="122"/>
      <c r="D533" s="123"/>
      <c r="E533" s="127"/>
      <c r="F533" s="125"/>
      <c r="G533" s="125"/>
      <c r="I533" s="126"/>
      <c r="J533" s="127"/>
      <c r="K533" s="127"/>
    </row>
    <row r="534">
      <c r="A534" s="121"/>
      <c r="B534" s="122"/>
      <c r="D534" s="123"/>
      <c r="E534" s="127"/>
      <c r="F534" s="125"/>
      <c r="G534" s="125"/>
      <c r="I534" s="126"/>
      <c r="J534" s="127"/>
      <c r="K534" s="127"/>
    </row>
    <row r="535">
      <c r="A535" s="121"/>
      <c r="B535" s="122"/>
      <c r="D535" s="123"/>
      <c r="E535" s="127"/>
      <c r="F535" s="125"/>
      <c r="G535" s="125"/>
      <c r="I535" s="126"/>
      <c r="J535" s="127"/>
      <c r="K535" s="127"/>
    </row>
    <row r="536">
      <c r="A536" s="121"/>
      <c r="B536" s="122"/>
      <c r="D536" s="123"/>
      <c r="E536" s="127"/>
      <c r="F536" s="125"/>
      <c r="G536" s="125"/>
      <c r="I536" s="126"/>
      <c r="J536" s="127"/>
      <c r="K536" s="127"/>
    </row>
    <row r="537">
      <c r="A537" s="121"/>
      <c r="B537" s="122"/>
      <c r="D537" s="123"/>
      <c r="E537" s="127"/>
      <c r="F537" s="125"/>
      <c r="G537" s="125"/>
      <c r="I537" s="126"/>
      <c r="J537" s="127"/>
      <c r="K537" s="127"/>
    </row>
    <row r="538">
      <c r="A538" s="121"/>
      <c r="B538" s="122"/>
      <c r="D538" s="123"/>
      <c r="E538" s="127"/>
      <c r="F538" s="125"/>
      <c r="G538" s="125"/>
      <c r="I538" s="126"/>
      <c r="J538" s="127"/>
      <c r="K538" s="127"/>
    </row>
    <row r="539">
      <c r="A539" s="121"/>
      <c r="B539" s="122"/>
      <c r="D539" s="123"/>
      <c r="E539" s="127"/>
      <c r="F539" s="125"/>
      <c r="G539" s="125"/>
      <c r="I539" s="126"/>
      <c r="J539" s="127"/>
      <c r="K539" s="127"/>
    </row>
    <row r="540">
      <c r="A540" s="121"/>
      <c r="B540" s="122"/>
      <c r="D540" s="123"/>
      <c r="E540" s="127"/>
      <c r="F540" s="125"/>
      <c r="G540" s="125"/>
      <c r="I540" s="126"/>
      <c r="J540" s="127"/>
      <c r="K540" s="127"/>
    </row>
    <row r="541">
      <c r="A541" s="121"/>
      <c r="B541" s="122"/>
      <c r="D541" s="123"/>
      <c r="E541" s="127"/>
      <c r="F541" s="125"/>
      <c r="G541" s="125"/>
      <c r="I541" s="126"/>
      <c r="J541" s="127"/>
      <c r="K541" s="127"/>
    </row>
    <row r="542">
      <c r="A542" s="121"/>
      <c r="B542" s="122"/>
      <c r="D542" s="123"/>
      <c r="E542" s="127"/>
      <c r="F542" s="125"/>
      <c r="G542" s="125"/>
      <c r="I542" s="126"/>
      <c r="J542" s="127"/>
      <c r="K542" s="127"/>
    </row>
    <row r="543">
      <c r="A543" s="121"/>
      <c r="B543" s="122"/>
      <c r="D543" s="123"/>
      <c r="E543" s="127"/>
      <c r="F543" s="125"/>
      <c r="G543" s="125"/>
      <c r="I543" s="126"/>
      <c r="J543" s="127"/>
      <c r="K543" s="127"/>
    </row>
    <row r="544">
      <c r="A544" s="121"/>
      <c r="B544" s="122"/>
      <c r="D544" s="123"/>
      <c r="E544" s="127"/>
      <c r="F544" s="125"/>
      <c r="G544" s="125"/>
      <c r="I544" s="126"/>
      <c r="J544" s="127"/>
      <c r="K544" s="127"/>
    </row>
    <row r="545">
      <c r="A545" s="121"/>
      <c r="B545" s="122"/>
      <c r="D545" s="123"/>
      <c r="E545" s="127"/>
      <c r="F545" s="125"/>
      <c r="G545" s="125"/>
      <c r="I545" s="126"/>
      <c r="J545" s="127"/>
      <c r="K545" s="127"/>
    </row>
    <row r="546">
      <c r="A546" s="121"/>
      <c r="B546" s="122"/>
      <c r="D546" s="123"/>
      <c r="E546" s="127"/>
      <c r="F546" s="125"/>
      <c r="G546" s="125"/>
      <c r="I546" s="126"/>
      <c r="J546" s="127"/>
      <c r="K546" s="127"/>
    </row>
    <row r="547">
      <c r="A547" s="121"/>
      <c r="B547" s="122"/>
      <c r="D547" s="123"/>
      <c r="E547" s="127"/>
      <c r="F547" s="125"/>
      <c r="G547" s="125"/>
      <c r="I547" s="126"/>
      <c r="J547" s="127"/>
      <c r="K547" s="127"/>
    </row>
    <row r="548">
      <c r="A548" s="121"/>
      <c r="B548" s="122"/>
      <c r="D548" s="123"/>
      <c r="E548" s="127"/>
      <c r="F548" s="125"/>
      <c r="G548" s="125"/>
      <c r="I548" s="126"/>
      <c r="J548" s="127"/>
      <c r="K548" s="127"/>
    </row>
    <row r="549">
      <c r="A549" s="121"/>
      <c r="B549" s="122"/>
      <c r="D549" s="123"/>
      <c r="E549" s="127"/>
      <c r="F549" s="125"/>
      <c r="G549" s="125"/>
      <c r="I549" s="126"/>
      <c r="J549" s="127"/>
      <c r="K549" s="127"/>
    </row>
    <row r="550">
      <c r="A550" s="121"/>
      <c r="B550" s="122"/>
      <c r="D550" s="123"/>
      <c r="E550" s="127"/>
      <c r="F550" s="125"/>
      <c r="G550" s="125"/>
      <c r="I550" s="126"/>
      <c r="J550" s="127"/>
      <c r="K550" s="127"/>
    </row>
    <row r="551">
      <c r="A551" s="121"/>
      <c r="B551" s="122"/>
      <c r="D551" s="123"/>
      <c r="E551" s="127"/>
      <c r="F551" s="125"/>
      <c r="G551" s="125"/>
      <c r="I551" s="126"/>
      <c r="J551" s="127"/>
      <c r="K551" s="127"/>
    </row>
    <row r="552">
      <c r="A552" s="121"/>
      <c r="B552" s="122"/>
      <c r="D552" s="123"/>
      <c r="E552" s="127"/>
      <c r="F552" s="125"/>
      <c r="G552" s="125"/>
      <c r="I552" s="126"/>
      <c r="J552" s="127"/>
      <c r="K552" s="127"/>
    </row>
    <row r="553">
      <c r="A553" s="121"/>
      <c r="B553" s="122"/>
      <c r="D553" s="123"/>
      <c r="E553" s="127"/>
      <c r="F553" s="125"/>
      <c r="G553" s="125"/>
      <c r="I553" s="126"/>
      <c r="J553" s="127"/>
      <c r="K553" s="127"/>
    </row>
    <row r="554">
      <c r="A554" s="121"/>
      <c r="B554" s="122"/>
      <c r="D554" s="123"/>
      <c r="E554" s="127"/>
      <c r="F554" s="125"/>
      <c r="G554" s="125"/>
      <c r="I554" s="126"/>
      <c r="J554" s="127"/>
      <c r="K554" s="127"/>
    </row>
    <row r="555">
      <c r="A555" s="121"/>
      <c r="B555" s="122"/>
      <c r="D555" s="123"/>
      <c r="E555" s="127"/>
      <c r="F555" s="125"/>
      <c r="G555" s="125"/>
      <c r="I555" s="126"/>
      <c r="J555" s="127"/>
      <c r="K555" s="127"/>
    </row>
    <row r="556">
      <c r="A556" s="121"/>
      <c r="B556" s="122"/>
      <c r="D556" s="123"/>
      <c r="E556" s="127"/>
      <c r="F556" s="125"/>
      <c r="G556" s="125"/>
      <c r="I556" s="126"/>
      <c r="J556" s="127"/>
      <c r="K556" s="127"/>
    </row>
    <row r="557">
      <c r="A557" s="121"/>
      <c r="B557" s="122"/>
      <c r="D557" s="123"/>
      <c r="E557" s="127"/>
      <c r="F557" s="125"/>
      <c r="G557" s="125"/>
      <c r="I557" s="126"/>
      <c r="J557" s="127"/>
      <c r="K557" s="127"/>
    </row>
    <row r="558">
      <c r="A558" s="121"/>
      <c r="B558" s="122"/>
      <c r="D558" s="123"/>
      <c r="E558" s="127"/>
      <c r="F558" s="125"/>
      <c r="G558" s="125"/>
      <c r="I558" s="126"/>
      <c r="J558" s="127"/>
      <c r="K558" s="127"/>
    </row>
    <row r="559">
      <c r="A559" s="121"/>
      <c r="B559" s="122"/>
      <c r="D559" s="123"/>
      <c r="E559" s="127"/>
      <c r="F559" s="125"/>
      <c r="G559" s="125"/>
      <c r="I559" s="126"/>
      <c r="J559" s="127"/>
      <c r="K559" s="127"/>
    </row>
    <row r="560">
      <c r="A560" s="121"/>
      <c r="B560" s="122"/>
      <c r="D560" s="123"/>
      <c r="E560" s="127"/>
      <c r="F560" s="125"/>
      <c r="G560" s="125"/>
      <c r="I560" s="126"/>
      <c r="J560" s="127"/>
      <c r="K560" s="127"/>
    </row>
    <row r="561">
      <c r="A561" s="121"/>
      <c r="B561" s="122"/>
      <c r="D561" s="123"/>
      <c r="E561" s="127"/>
      <c r="F561" s="125"/>
      <c r="G561" s="125"/>
      <c r="I561" s="126"/>
      <c r="J561" s="127"/>
      <c r="K561" s="127"/>
    </row>
    <row r="562">
      <c r="A562" s="121"/>
      <c r="B562" s="122"/>
      <c r="D562" s="123"/>
      <c r="E562" s="127"/>
      <c r="F562" s="125"/>
      <c r="G562" s="125"/>
      <c r="I562" s="126"/>
      <c r="J562" s="127"/>
      <c r="K562" s="127"/>
    </row>
    <row r="563">
      <c r="A563" s="121"/>
      <c r="B563" s="122"/>
      <c r="D563" s="123"/>
      <c r="E563" s="127"/>
      <c r="F563" s="125"/>
      <c r="G563" s="125"/>
      <c r="I563" s="126"/>
      <c r="J563" s="127"/>
      <c r="K563" s="127"/>
    </row>
    <row r="564">
      <c r="A564" s="121"/>
      <c r="B564" s="122"/>
      <c r="D564" s="123"/>
      <c r="E564" s="127"/>
      <c r="F564" s="125"/>
      <c r="G564" s="125"/>
      <c r="I564" s="126"/>
      <c r="J564" s="127"/>
      <c r="K564" s="127"/>
    </row>
    <row r="565">
      <c r="A565" s="121"/>
      <c r="B565" s="122"/>
      <c r="D565" s="123"/>
      <c r="E565" s="127"/>
      <c r="F565" s="125"/>
      <c r="G565" s="125"/>
      <c r="I565" s="126"/>
      <c r="J565" s="127"/>
      <c r="K565" s="127"/>
    </row>
    <row r="566">
      <c r="A566" s="121"/>
      <c r="B566" s="122"/>
      <c r="D566" s="123"/>
      <c r="E566" s="127"/>
      <c r="F566" s="125"/>
      <c r="G566" s="125"/>
      <c r="I566" s="126"/>
      <c r="J566" s="127"/>
      <c r="K566" s="127"/>
    </row>
    <row r="567">
      <c r="A567" s="121"/>
      <c r="B567" s="122"/>
      <c r="D567" s="123"/>
      <c r="E567" s="127"/>
      <c r="F567" s="125"/>
      <c r="G567" s="125"/>
      <c r="I567" s="126"/>
      <c r="J567" s="127"/>
      <c r="K567" s="127"/>
    </row>
    <row r="568">
      <c r="A568" s="121"/>
      <c r="B568" s="122"/>
      <c r="D568" s="123"/>
      <c r="E568" s="127"/>
      <c r="F568" s="125"/>
      <c r="G568" s="125"/>
      <c r="I568" s="126"/>
      <c r="J568" s="127"/>
      <c r="K568" s="127"/>
    </row>
    <row r="569">
      <c r="A569" s="121"/>
      <c r="B569" s="122"/>
      <c r="D569" s="123"/>
      <c r="E569" s="127"/>
      <c r="F569" s="125"/>
      <c r="G569" s="125"/>
      <c r="I569" s="126"/>
      <c r="J569" s="127"/>
      <c r="K569" s="127"/>
    </row>
    <row r="570">
      <c r="A570" s="121"/>
      <c r="B570" s="122"/>
      <c r="D570" s="123"/>
      <c r="E570" s="127"/>
      <c r="F570" s="125"/>
      <c r="G570" s="125"/>
      <c r="I570" s="126"/>
      <c r="J570" s="127"/>
      <c r="K570" s="127"/>
    </row>
    <row r="571">
      <c r="A571" s="121"/>
      <c r="B571" s="122"/>
      <c r="D571" s="123"/>
      <c r="E571" s="127"/>
      <c r="F571" s="125"/>
      <c r="G571" s="125"/>
      <c r="I571" s="126"/>
      <c r="J571" s="127"/>
      <c r="K571" s="127"/>
    </row>
    <row r="572">
      <c r="A572" s="121"/>
      <c r="B572" s="122"/>
      <c r="D572" s="123"/>
      <c r="E572" s="127"/>
      <c r="F572" s="125"/>
      <c r="G572" s="125"/>
      <c r="I572" s="126"/>
      <c r="J572" s="127"/>
      <c r="K572" s="127"/>
    </row>
    <row r="573">
      <c r="A573" s="121"/>
      <c r="B573" s="122"/>
      <c r="D573" s="123"/>
      <c r="E573" s="127"/>
      <c r="F573" s="125"/>
      <c r="G573" s="125"/>
      <c r="I573" s="126"/>
      <c r="J573" s="127"/>
      <c r="K573" s="127"/>
    </row>
    <row r="574">
      <c r="A574" s="121"/>
      <c r="B574" s="122"/>
      <c r="D574" s="123"/>
      <c r="E574" s="127"/>
      <c r="F574" s="125"/>
      <c r="G574" s="125"/>
      <c r="I574" s="126"/>
      <c r="J574" s="127"/>
      <c r="K574" s="127"/>
    </row>
    <row r="575">
      <c r="A575" s="121"/>
      <c r="B575" s="122"/>
      <c r="D575" s="123"/>
      <c r="E575" s="127"/>
      <c r="F575" s="125"/>
      <c r="G575" s="125"/>
      <c r="I575" s="126"/>
      <c r="J575" s="127"/>
      <c r="K575" s="127"/>
    </row>
    <row r="576">
      <c r="A576" s="121"/>
      <c r="B576" s="122"/>
      <c r="D576" s="123"/>
      <c r="E576" s="127"/>
      <c r="F576" s="125"/>
      <c r="G576" s="125"/>
      <c r="I576" s="126"/>
      <c r="J576" s="127"/>
      <c r="K576" s="127"/>
    </row>
    <row r="577">
      <c r="A577" s="121"/>
      <c r="B577" s="122"/>
      <c r="D577" s="123"/>
      <c r="E577" s="127"/>
      <c r="F577" s="125"/>
      <c r="G577" s="125"/>
      <c r="I577" s="126"/>
      <c r="J577" s="127"/>
      <c r="K577" s="127"/>
    </row>
    <row r="578">
      <c r="A578" s="121"/>
      <c r="B578" s="122"/>
      <c r="D578" s="123"/>
      <c r="E578" s="127"/>
      <c r="F578" s="125"/>
      <c r="G578" s="125"/>
      <c r="I578" s="126"/>
      <c r="J578" s="127"/>
      <c r="K578" s="127"/>
    </row>
    <row r="579">
      <c r="A579" s="121"/>
      <c r="B579" s="122"/>
      <c r="D579" s="123"/>
      <c r="E579" s="127"/>
      <c r="F579" s="125"/>
      <c r="G579" s="125"/>
      <c r="I579" s="126"/>
      <c r="J579" s="127"/>
      <c r="K579" s="127"/>
    </row>
    <row r="580">
      <c r="A580" s="121"/>
      <c r="B580" s="122"/>
      <c r="D580" s="123"/>
      <c r="E580" s="127"/>
      <c r="F580" s="125"/>
      <c r="G580" s="125"/>
      <c r="I580" s="126"/>
      <c r="J580" s="127"/>
      <c r="K580" s="127"/>
    </row>
    <row r="581">
      <c r="A581" s="121"/>
      <c r="B581" s="122"/>
      <c r="D581" s="123"/>
      <c r="E581" s="127"/>
      <c r="F581" s="125"/>
      <c r="G581" s="125"/>
      <c r="I581" s="126"/>
      <c r="J581" s="127"/>
      <c r="K581" s="127"/>
    </row>
    <row r="582">
      <c r="A582" s="121"/>
      <c r="B582" s="122"/>
      <c r="D582" s="123"/>
      <c r="E582" s="127"/>
      <c r="F582" s="125"/>
      <c r="G582" s="125"/>
      <c r="I582" s="126"/>
      <c r="J582" s="127"/>
      <c r="K582" s="127"/>
    </row>
    <row r="583">
      <c r="A583" s="121"/>
      <c r="B583" s="122"/>
      <c r="D583" s="123"/>
      <c r="E583" s="127"/>
      <c r="F583" s="125"/>
      <c r="G583" s="125"/>
      <c r="I583" s="126"/>
      <c r="J583" s="127"/>
      <c r="K583" s="127"/>
    </row>
    <row r="584">
      <c r="A584" s="121"/>
      <c r="B584" s="122"/>
      <c r="D584" s="123"/>
      <c r="E584" s="127"/>
      <c r="F584" s="125"/>
      <c r="G584" s="125"/>
      <c r="I584" s="126"/>
      <c r="J584" s="127"/>
      <c r="K584" s="127"/>
    </row>
    <row r="585">
      <c r="A585" s="121"/>
      <c r="B585" s="122"/>
      <c r="D585" s="123"/>
      <c r="E585" s="127"/>
      <c r="F585" s="125"/>
      <c r="G585" s="125"/>
      <c r="I585" s="126"/>
      <c r="J585" s="127"/>
      <c r="K585" s="127"/>
    </row>
    <row r="586">
      <c r="A586" s="121"/>
      <c r="B586" s="122"/>
      <c r="D586" s="123"/>
      <c r="E586" s="127"/>
      <c r="F586" s="125"/>
      <c r="G586" s="125"/>
      <c r="I586" s="126"/>
      <c r="J586" s="127"/>
      <c r="K586" s="127"/>
    </row>
    <row r="587">
      <c r="A587" s="121"/>
      <c r="B587" s="122"/>
      <c r="D587" s="123"/>
      <c r="E587" s="127"/>
      <c r="F587" s="125"/>
      <c r="G587" s="125"/>
      <c r="I587" s="126"/>
      <c r="J587" s="127"/>
      <c r="K587" s="127"/>
    </row>
    <row r="588">
      <c r="A588" s="121"/>
      <c r="B588" s="122"/>
      <c r="D588" s="123"/>
      <c r="E588" s="127"/>
      <c r="F588" s="125"/>
      <c r="G588" s="125"/>
      <c r="I588" s="126"/>
      <c r="J588" s="127"/>
      <c r="K588" s="127"/>
    </row>
    <row r="589">
      <c r="A589" s="121"/>
      <c r="B589" s="122"/>
      <c r="D589" s="123"/>
      <c r="E589" s="127"/>
      <c r="F589" s="125"/>
      <c r="G589" s="125"/>
      <c r="I589" s="126"/>
      <c r="J589" s="127"/>
      <c r="K589" s="127"/>
    </row>
    <row r="590">
      <c r="A590" s="121"/>
      <c r="B590" s="122"/>
      <c r="D590" s="123"/>
      <c r="E590" s="127"/>
      <c r="F590" s="125"/>
      <c r="G590" s="125"/>
      <c r="I590" s="126"/>
      <c r="J590" s="127"/>
      <c r="K590" s="127"/>
    </row>
    <row r="591">
      <c r="A591" s="121"/>
      <c r="B591" s="122"/>
      <c r="D591" s="123"/>
      <c r="E591" s="127"/>
      <c r="F591" s="125"/>
      <c r="G591" s="125"/>
      <c r="I591" s="126"/>
      <c r="J591" s="127"/>
      <c r="K591" s="127"/>
    </row>
    <row r="592">
      <c r="A592" s="121"/>
      <c r="B592" s="122"/>
      <c r="D592" s="123"/>
      <c r="E592" s="127"/>
      <c r="F592" s="125"/>
      <c r="G592" s="125"/>
      <c r="I592" s="126"/>
      <c r="J592" s="127"/>
      <c r="K592" s="127"/>
    </row>
    <row r="593">
      <c r="A593" s="121"/>
      <c r="B593" s="122"/>
      <c r="D593" s="123"/>
      <c r="E593" s="127"/>
      <c r="F593" s="125"/>
      <c r="G593" s="125"/>
      <c r="I593" s="126"/>
      <c r="J593" s="127"/>
      <c r="K593" s="127"/>
    </row>
    <row r="594">
      <c r="A594" s="121"/>
      <c r="B594" s="122"/>
      <c r="D594" s="123"/>
      <c r="E594" s="127"/>
      <c r="F594" s="125"/>
      <c r="G594" s="125"/>
      <c r="I594" s="126"/>
      <c r="J594" s="127"/>
      <c r="K594" s="127"/>
    </row>
    <row r="595">
      <c r="A595" s="121"/>
      <c r="B595" s="122"/>
      <c r="D595" s="123"/>
      <c r="E595" s="127"/>
      <c r="F595" s="125"/>
      <c r="G595" s="125"/>
      <c r="I595" s="126"/>
      <c r="J595" s="127"/>
      <c r="K595" s="127"/>
    </row>
    <row r="596">
      <c r="A596" s="121"/>
      <c r="B596" s="122"/>
      <c r="D596" s="123"/>
      <c r="E596" s="127"/>
      <c r="F596" s="125"/>
      <c r="G596" s="125"/>
      <c r="I596" s="126"/>
      <c r="J596" s="127"/>
      <c r="K596" s="127"/>
    </row>
    <row r="597">
      <c r="A597" s="121"/>
      <c r="B597" s="122"/>
      <c r="D597" s="123"/>
      <c r="E597" s="127"/>
      <c r="F597" s="125"/>
      <c r="G597" s="125"/>
      <c r="I597" s="126"/>
      <c r="J597" s="127"/>
      <c r="K597" s="127"/>
    </row>
    <row r="598">
      <c r="A598" s="121"/>
      <c r="B598" s="122"/>
      <c r="D598" s="123"/>
      <c r="E598" s="127"/>
      <c r="F598" s="125"/>
      <c r="G598" s="125"/>
      <c r="I598" s="126"/>
      <c r="J598" s="127"/>
      <c r="K598" s="127"/>
    </row>
    <row r="599">
      <c r="A599" s="121"/>
      <c r="B599" s="122"/>
      <c r="D599" s="123"/>
      <c r="E599" s="127"/>
      <c r="F599" s="125"/>
      <c r="G599" s="125"/>
      <c r="I599" s="126"/>
      <c r="J599" s="127"/>
      <c r="K599" s="127"/>
    </row>
    <row r="600">
      <c r="A600" s="121"/>
      <c r="B600" s="122"/>
      <c r="D600" s="123"/>
      <c r="E600" s="127"/>
      <c r="F600" s="125"/>
      <c r="G600" s="125"/>
      <c r="I600" s="126"/>
      <c r="J600" s="127"/>
      <c r="K600" s="127"/>
    </row>
    <row r="601">
      <c r="A601" s="121"/>
      <c r="B601" s="122"/>
      <c r="D601" s="123"/>
      <c r="E601" s="127"/>
      <c r="F601" s="125"/>
      <c r="G601" s="125"/>
      <c r="I601" s="126"/>
      <c r="J601" s="127"/>
      <c r="K601" s="127"/>
    </row>
    <row r="602">
      <c r="A602" s="121"/>
      <c r="B602" s="122"/>
      <c r="D602" s="123"/>
      <c r="E602" s="127"/>
      <c r="F602" s="125"/>
      <c r="G602" s="125"/>
      <c r="I602" s="126"/>
      <c r="J602" s="127"/>
      <c r="K602" s="127"/>
    </row>
    <row r="603">
      <c r="A603" s="121"/>
      <c r="B603" s="122"/>
      <c r="D603" s="123"/>
      <c r="E603" s="127"/>
      <c r="F603" s="125"/>
      <c r="G603" s="125"/>
      <c r="I603" s="126"/>
      <c r="J603" s="127"/>
      <c r="K603" s="127"/>
    </row>
    <row r="604">
      <c r="A604" s="121"/>
      <c r="B604" s="122"/>
      <c r="D604" s="123"/>
      <c r="E604" s="127"/>
      <c r="F604" s="125"/>
      <c r="G604" s="125"/>
      <c r="I604" s="126"/>
      <c r="J604" s="127"/>
      <c r="K604" s="127"/>
    </row>
    <row r="605">
      <c r="A605" s="121"/>
      <c r="B605" s="122"/>
      <c r="D605" s="123"/>
      <c r="E605" s="127"/>
      <c r="F605" s="125"/>
      <c r="G605" s="125"/>
      <c r="I605" s="126"/>
      <c r="J605" s="127"/>
      <c r="K605" s="127"/>
    </row>
    <row r="606">
      <c r="A606" s="121"/>
      <c r="B606" s="122"/>
      <c r="D606" s="123"/>
      <c r="E606" s="127"/>
      <c r="F606" s="125"/>
      <c r="G606" s="125"/>
      <c r="I606" s="126"/>
      <c r="J606" s="127"/>
      <c r="K606" s="127"/>
    </row>
    <row r="607">
      <c r="A607" s="121"/>
      <c r="B607" s="122"/>
      <c r="D607" s="123"/>
      <c r="E607" s="127"/>
      <c r="F607" s="125"/>
      <c r="G607" s="125"/>
      <c r="I607" s="126"/>
      <c r="J607" s="127"/>
      <c r="K607" s="127"/>
    </row>
    <row r="608">
      <c r="A608" s="121"/>
      <c r="B608" s="122"/>
      <c r="D608" s="123"/>
      <c r="E608" s="127"/>
      <c r="F608" s="125"/>
      <c r="G608" s="125"/>
      <c r="I608" s="126"/>
      <c r="J608" s="127"/>
      <c r="K608" s="127"/>
    </row>
    <row r="609">
      <c r="A609" s="121"/>
      <c r="B609" s="122"/>
      <c r="D609" s="123"/>
      <c r="E609" s="127"/>
      <c r="F609" s="125"/>
      <c r="G609" s="125"/>
      <c r="I609" s="126"/>
      <c r="J609" s="127"/>
      <c r="K609" s="127"/>
    </row>
    <row r="610">
      <c r="A610" s="121"/>
      <c r="B610" s="122"/>
      <c r="D610" s="123"/>
      <c r="E610" s="127"/>
      <c r="F610" s="125"/>
      <c r="G610" s="125"/>
      <c r="I610" s="126"/>
      <c r="J610" s="127"/>
      <c r="K610" s="127"/>
    </row>
    <row r="611">
      <c r="A611" s="121"/>
      <c r="B611" s="122"/>
      <c r="D611" s="123"/>
      <c r="E611" s="127"/>
      <c r="F611" s="125"/>
      <c r="G611" s="125"/>
      <c r="I611" s="126"/>
      <c r="J611" s="127"/>
      <c r="K611" s="127"/>
    </row>
    <row r="612">
      <c r="A612" s="121"/>
      <c r="B612" s="122"/>
      <c r="D612" s="123"/>
      <c r="E612" s="127"/>
      <c r="F612" s="125"/>
      <c r="G612" s="125"/>
      <c r="I612" s="126"/>
      <c r="J612" s="127"/>
      <c r="K612" s="127"/>
    </row>
    <row r="613">
      <c r="A613" s="121"/>
      <c r="B613" s="122"/>
      <c r="D613" s="123"/>
      <c r="E613" s="127"/>
      <c r="F613" s="125"/>
      <c r="G613" s="125"/>
      <c r="I613" s="126"/>
      <c r="J613" s="127"/>
      <c r="K613" s="127"/>
    </row>
    <row r="614">
      <c r="A614" s="121"/>
      <c r="B614" s="122"/>
      <c r="D614" s="123"/>
      <c r="E614" s="127"/>
      <c r="F614" s="125"/>
      <c r="G614" s="125"/>
      <c r="I614" s="126"/>
      <c r="J614" s="127"/>
      <c r="K614" s="127"/>
    </row>
    <row r="615">
      <c r="A615" s="121"/>
      <c r="B615" s="122"/>
      <c r="D615" s="123"/>
      <c r="E615" s="127"/>
      <c r="F615" s="125"/>
      <c r="G615" s="125"/>
      <c r="I615" s="126"/>
      <c r="J615" s="127"/>
      <c r="K615" s="127"/>
    </row>
    <row r="616">
      <c r="A616" s="121"/>
      <c r="B616" s="122"/>
      <c r="D616" s="123"/>
      <c r="E616" s="127"/>
      <c r="F616" s="125"/>
      <c r="G616" s="125"/>
      <c r="I616" s="126"/>
      <c r="J616" s="127"/>
      <c r="K616" s="127"/>
    </row>
    <row r="617">
      <c r="A617" s="121"/>
      <c r="B617" s="122"/>
      <c r="D617" s="123"/>
      <c r="E617" s="127"/>
      <c r="F617" s="125"/>
      <c r="G617" s="125"/>
      <c r="I617" s="126"/>
      <c r="J617" s="127"/>
      <c r="K617" s="127"/>
    </row>
    <row r="618">
      <c r="A618" s="121"/>
      <c r="B618" s="122"/>
      <c r="D618" s="123"/>
      <c r="E618" s="127"/>
      <c r="F618" s="125"/>
      <c r="G618" s="125"/>
      <c r="I618" s="126"/>
      <c r="J618" s="127"/>
      <c r="K618" s="127"/>
    </row>
    <row r="619">
      <c r="A619" s="121"/>
      <c r="B619" s="122"/>
      <c r="D619" s="123"/>
      <c r="E619" s="127"/>
      <c r="F619" s="125"/>
      <c r="G619" s="125"/>
      <c r="I619" s="126"/>
      <c r="J619" s="127"/>
      <c r="K619" s="127"/>
    </row>
    <row r="620">
      <c r="A620" s="121"/>
      <c r="B620" s="122"/>
      <c r="D620" s="123"/>
      <c r="E620" s="127"/>
      <c r="F620" s="125"/>
      <c r="G620" s="125"/>
      <c r="I620" s="126"/>
      <c r="J620" s="127"/>
      <c r="K620" s="127"/>
    </row>
    <row r="621">
      <c r="A621" s="121"/>
      <c r="B621" s="122"/>
      <c r="D621" s="123"/>
      <c r="E621" s="127"/>
      <c r="F621" s="125"/>
      <c r="G621" s="125"/>
      <c r="I621" s="126"/>
      <c r="J621" s="127"/>
      <c r="K621" s="127"/>
    </row>
    <row r="622">
      <c r="A622" s="121"/>
      <c r="B622" s="122"/>
      <c r="D622" s="123"/>
      <c r="E622" s="127"/>
      <c r="F622" s="125"/>
      <c r="G622" s="125"/>
      <c r="I622" s="126"/>
      <c r="J622" s="127"/>
      <c r="K622" s="127"/>
    </row>
    <row r="623">
      <c r="A623" s="121"/>
      <c r="B623" s="122"/>
      <c r="D623" s="123"/>
      <c r="E623" s="127"/>
      <c r="F623" s="125"/>
      <c r="G623" s="125"/>
      <c r="I623" s="126"/>
      <c r="J623" s="127"/>
      <c r="K623" s="127"/>
    </row>
    <row r="624">
      <c r="A624" s="121"/>
      <c r="B624" s="122"/>
      <c r="D624" s="123"/>
      <c r="E624" s="127"/>
      <c r="F624" s="125"/>
      <c r="G624" s="125"/>
      <c r="I624" s="126"/>
      <c r="J624" s="127"/>
      <c r="K624" s="127"/>
    </row>
    <row r="625">
      <c r="A625" s="121"/>
      <c r="B625" s="122"/>
      <c r="D625" s="123"/>
      <c r="E625" s="127"/>
      <c r="F625" s="125"/>
      <c r="G625" s="125"/>
      <c r="I625" s="126"/>
      <c r="J625" s="127"/>
      <c r="K625" s="127"/>
    </row>
    <row r="626">
      <c r="A626" s="121"/>
      <c r="B626" s="122"/>
      <c r="D626" s="123"/>
      <c r="E626" s="127"/>
      <c r="F626" s="125"/>
      <c r="G626" s="125"/>
      <c r="I626" s="126"/>
      <c r="J626" s="127"/>
      <c r="K626" s="127"/>
    </row>
    <row r="627">
      <c r="A627" s="121"/>
      <c r="B627" s="122"/>
      <c r="D627" s="123"/>
      <c r="E627" s="127"/>
      <c r="F627" s="125"/>
      <c r="G627" s="125"/>
      <c r="I627" s="126"/>
      <c r="J627" s="127"/>
      <c r="K627" s="127"/>
    </row>
    <row r="628">
      <c r="A628" s="121"/>
      <c r="B628" s="122"/>
      <c r="D628" s="123"/>
      <c r="E628" s="127"/>
      <c r="F628" s="125"/>
      <c r="G628" s="125"/>
      <c r="I628" s="126"/>
      <c r="J628" s="127"/>
      <c r="K628" s="127"/>
    </row>
    <row r="629">
      <c r="A629" s="121"/>
      <c r="B629" s="122"/>
      <c r="D629" s="123"/>
      <c r="E629" s="127"/>
      <c r="F629" s="125"/>
      <c r="G629" s="125"/>
      <c r="I629" s="126"/>
      <c r="J629" s="127"/>
      <c r="K629" s="127"/>
    </row>
    <row r="630">
      <c r="A630" s="121"/>
      <c r="B630" s="122"/>
      <c r="D630" s="123"/>
      <c r="E630" s="127"/>
      <c r="F630" s="125"/>
      <c r="G630" s="125"/>
      <c r="I630" s="126"/>
      <c r="J630" s="127"/>
      <c r="K630" s="127"/>
    </row>
    <row r="631">
      <c r="A631" s="121"/>
      <c r="B631" s="122"/>
      <c r="D631" s="123"/>
      <c r="E631" s="127"/>
      <c r="F631" s="125"/>
      <c r="G631" s="125"/>
      <c r="I631" s="126"/>
      <c r="J631" s="127"/>
      <c r="K631" s="127"/>
    </row>
    <row r="632">
      <c r="A632" s="121"/>
      <c r="B632" s="122"/>
      <c r="D632" s="123"/>
      <c r="E632" s="127"/>
      <c r="F632" s="125"/>
      <c r="G632" s="125"/>
      <c r="I632" s="126"/>
      <c r="J632" s="127"/>
      <c r="K632" s="127"/>
    </row>
    <row r="633">
      <c r="A633" s="121"/>
      <c r="B633" s="122"/>
      <c r="D633" s="123"/>
      <c r="E633" s="127"/>
      <c r="F633" s="125"/>
      <c r="G633" s="125"/>
      <c r="I633" s="126"/>
      <c r="J633" s="127"/>
      <c r="K633" s="127"/>
    </row>
    <row r="634">
      <c r="A634" s="121"/>
      <c r="B634" s="122"/>
      <c r="D634" s="123"/>
      <c r="E634" s="127"/>
      <c r="F634" s="125"/>
      <c r="G634" s="125"/>
      <c r="I634" s="126"/>
      <c r="J634" s="127"/>
      <c r="K634" s="127"/>
    </row>
    <row r="635">
      <c r="A635" s="121"/>
      <c r="B635" s="122"/>
      <c r="D635" s="123"/>
      <c r="E635" s="127"/>
      <c r="F635" s="125"/>
      <c r="G635" s="125"/>
      <c r="I635" s="126"/>
      <c r="J635" s="127"/>
      <c r="K635" s="127"/>
    </row>
    <row r="636">
      <c r="A636" s="121"/>
      <c r="B636" s="122"/>
      <c r="D636" s="123"/>
      <c r="E636" s="127"/>
      <c r="F636" s="125"/>
      <c r="G636" s="125"/>
      <c r="I636" s="126"/>
      <c r="J636" s="127"/>
      <c r="K636" s="127"/>
    </row>
    <row r="637">
      <c r="A637" s="121"/>
      <c r="B637" s="122"/>
      <c r="D637" s="123"/>
      <c r="E637" s="127"/>
      <c r="F637" s="125"/>
      <c r="G637" s="125"/>
      <c r="I637" s="126"/>
      <c r="J637" s="127"/>
      <c r="K637" s="127"/>
    </row>
    <row r="638">
      <c r="A638" s="121"/>
      <c r="B638" s="122"/>
      <c r="D638" s="123"/>
      <c r="E638" s="127"/>
      <c r="F638" s="125"/>
      <c r="G638" s="125"/>
      <c r="I638" s="126"/>
      <c r="J638" s="127"/>
      <c r="K638" s="127"/>
    </row>
    <row r="639">
      <c r="A639" s="121"/>
      <c r="B639" s="122"/>
      <c r="D639" s="123"/>
      <c r="E639" s="127"/>
      <c r="F639" s="125"/>
      <c r="G639" s="125"/>
      <c r="I639" s="126"/>
      <c r="J639" s="127"/>
      <c r="K639" s="127"/>
    </row>
    <row r="640">
      <c r="A640" s="121"/>
      <c r="B640" s="122"/>
      <c r="D640" s="123"/>
      <c r="E640" s="127"/>
      <c r="F640" s="125"/>
      <c r="G640" s="125"/>
      <c r="I640" s="126"/>
      <c r="J640" s="127"/>
      <c r="K640" s="127"/>
    </row>
    <row r="641">
      <c r="A641" s="121"/>
      <c r="B641" s="122"/>
      <c r="D641" s="123"/>
      <c r="E641" s="127"/>
      <c r="F641" s="125"/>
      <c r="G641" s="125"/>
      <c r="I641" s="126"/>
      <c r="J641" s="127"/>
      <c r="K641" s="127"/>
    </row>
    <row r="642">
      <c r="A642" s="121"/>
      <c r="B642" s="122"/>
      <c r="D642" s="123"/>
      <c r="E642" s="127"/>
      <c r="F642" s="125"/>
      <c r="G642" s="125"/>
      <c r="I642" s="126"/>
      <c r="J642" s="127"/>
      <c r="K642" s="127"/>
    </row>
    <row r="643">
      <c r="A643" s="121"/>
      <c r="B643" s="122"/>
      <c r="D643" s="123"/>
      <c r="E643" s="127"/>
      <c r="F643" s="125"/>
      <c r="G643" s="125"/>
      <c r="I643" s="126"/>
      <c r="J643" s="127"/>
      <c r="K643" s="127"/>
    </row>
    <row r="644">
      <c r="A644" s="121"/>
      <c r="B644" s="122"/>
      <c r="D644" s="123"/>
      <c r="E644" s="127"/>
      <c r="F644" s="125"/>
      <c r="G644" s="125"/>
      <c r="I644" s="126"/>
      <c r="J644" s="127"/>
      <c r="K644" s="127"/>
    </row>
    <row r="645">
      <c r="A645" s="121"/>
      <c r="B645" s="122"/>
      <c r="D645" s="123"/>
      <c r="E645" s="127"/>
      <c r="F645" s="125"/>
      <c r="G645" s="125"/>
      <c r="I645" s="126"/>
      <c r="J645" s="127"/>
      <c r="K645" s="127"/>
    </row>
    <row r="646">
      <c r="A646" s="121"/>
      <c r="B646" s="122"/>
      <c r="D646" s="123"/>
      <c r="E646" s="127"/>
      <c r="F646" s="125"/>
      <c r="G646" s="125"/>
      <c r="I646" s="126"/>
      <c r="J646" s="127"/>
      <c r="K646" s="127"/>
    </row>
    <row r="647">
      <c r="A647" s="121"/>
      <c r="B647" s="122"/>
      <c r="D647" s="123"/>
      <c r="E647" s="127"/>
      <c r="F647" s="125"/>
      <c r="G647" s="125"/>
      <c r="I647" s="126"/>
      <c r="J647" s="127"/>
      <c r="K647" s="127"/>
    </row>
    <row r="648">
      <c r="A648" s="121"/>
      <c r="B648" s="122"/>
      <c r="D648" s="123"/>
      <c r="E648" s="127"/>
      <c r="F648" s="125"/>
      <c r="G648" s="125"/>
      <c r="I648" s="126"/>
      <c r="J648" s="127"/>
      <c r="K648" s="127"/>
    </row>
    <row r="649">
      <c r="A649" s="121"/>
      <c r="B649" s="122"/>
      <c r="D649" s="123"/>
      <c r="E649" s="127"/>
      <c r="F649" s="125"/>
      <c r="G649" s="125"/>
      <c r="I649" s="126"/>
      <c r="J649" s="127"/>
      <c r="K649" s="127"/>
    </row>
    <row r="650">
      <c r="A650" s="121"/>
      <c r="B650" s="122"/>
      <c r="D650" s="123"/>
      <c r="E650" s="127"/>
      <c r="F650" s="125"/>
      <c r="G650" s="125"/>
      <c r="I650" s="126"/>
      <c r="J650" s="127"/>
      <c r="K650" s="127"/>
    </row>
    <row r="651">
      <c r="A651" s="121"/>
      <c r="B651" s="122"/>
      <c r="D651" s="123"/>
      <c r="E651" s="127"/>
      <c r="F651" s="125"/>
      <c r="G651" s="125"/>
      <c r="I651" s="126"/>
      <c r="J651" s="127"/>
      <c r="K651" s="127"/>
    </row>
    <row r="652">
      <c r="A652" s="121"/>
      <c r="B652" s="122"/>
      <c r="D652" s="123"/>
      <c r="E652" s="127"/>
      <c r="F652" s="125"/>
      <c r="G652" s="125"/>
      <c r="I652" s="126"/>
      <c r="J652" s="127"/>
      <c r="K652" s="127"/>
    </row>
    <row r="653">
      <c r="A653" s="121"/>
      <c r="B653" s="122"/>
      <c r="D653" s="123"/>
      <c r="E653" s="127"/>
      <c r="F653" s="125"/>
      <c r="G653" s="125"/>
      <c r="I653" s="126"/>
      <c r="J653" s="127"/>
      <c r="K653" s="127"/>
    </row>
    <row r="654">
      <c r="A654" s="121"/>
      <c r="B654" s="122"/>
      <c r="D654" s="123"/>
      <c r="E654" s="127"/>
      <c r="F654" s="125"/>
      <c r="G654" s="125"/>
      <c r="I654" s="126"/>
      <c r="J654" s="127"/>
      <c r="K654" s="127"/>
    </row>
    <row r="655">
      <c r="A655" s="121"/>
      <c r="B655" s="122"/>
      <c r="D655" s="123"/>
      <c r="E655" s="127"/>
      <c r="F655" s="125"/>
      <c r="G655" s="125"/>
      <c r="I655" s="126"/>
      <c r="J655" s="127"/>
      <c r="K655" s="127"/>
    </row>
    <row r="656">
      <c r="A656" s="121"/>
      <c r="B656" s="122"/>
      <c r="D656" s="123"/>
      <c r="E656" s="127"/>
      <c r="F656" s="125"/>
      <c r="G656" s="125"/>
      <c r="I656" s="126"/>
      <c r="J656" s="127"/>
      <c r="K656" s="127"/>
    </row>
    <row r="657">
      <c r="A657" s="121"/>
      <c r="B657" s="122"/>
      <c r="D657" s="123"/>
      <c r="E657" s="127"/>
      <c r="F657" s="125"/>
      <c r="G657" s="125"/>
      <c r="I657" s="126"/>
      <c r="J657" s="127"/>
      <c r="K657" s="127"/>
    </row>
    <row r="658">
      <c r="A658" s="121"/>
      <c r="B658" s="122"/>
      <c r="D658" s="123"/>
      <c r="E658" s="127"/>
      <c r="F658" s="125"/>
      <c r="G658" s="125"/>
      <c r="I658" s="126"/>
      <c r="J658" s="127"/>
      <c r="K658" s="127"/>
    </row>
    <row r="659">
      <c r="A659" s="121"/>
      <c r="B659" s="122"/>
      <c r="D659" s="123"/>
      <c r="E659" s="127"/>
      <c r="F659" s="125"/>
      <c r="G659" s="125"/>
      <c r="I659" s="126"/>
      <c r="J659" s="127"/>
      <c r="K659" s="127"/>
    </row>
    <row r="660">
      <c r="A660" s="121"/>
      <c r="B660" s="122"/>
      <c r="D660" s="123"/>
      <c r="E660" s="127"/>
      <c r="F660" s="125"/>
      <c r="G660" s="125"/>
      <c r="I660" s="126"/>
      <c r="J660" s="127"/>
      <c r="K660" s="127"/>
    </row>
    <row r="661">
      <c r="A661" s="121"/>
      <c r="B661" s="122"/>
      <c r="D661" s="123"/>
      <c r="E661" s="127"/>
      <c r="F661" s="125"/>
      <c r="G661" s="125"/>
      <c r="I661" s="126"/>
      <c r="J661" s="127"/>
      <c r="K661" s="127"/>
    </row>
    <row r="662">
      <c r="A662" s="121"/>
      <c r="B662" s="122"/>
      <c r="D662" s="123"/>
      <c r="E662" s="127"/>
      <c r="F662" s="125"/>
      <c r="G662" s="125"/>
      <c r="I662" s="126"/>
      <c r="J662" s="127"/>
      <c r="K662" s="127"/>
    </row>
    <row r="663">
      <c r="A663" s="121"/>
      <c r="B663" s="122"/>
      <c r="D663" s="123"/>
      <c r="E663" s="127"/>
      <c r="F663" s="125"/>
      <c r="G663" s="125"/>
      <c r="I663" s="126"/>
      <c r="J663" s="127"/>
      <c r="K663" s="127"/>
    </row>
    <row r="664">
      <c r="A664" s="121"/>
      <c r="B664" s="122"/>
      <c r="D664" s="123"/>
      <c r="E664" s="127"/>
      <c r="F664" s="125"/>
      <c r="G664" s="125"/>
      <c r="I664" s="126"/>
      <c r="J664" s="127"/>
      <c r="K664" s="127"/>
    </row>
    <row r="665">
      <c r="A665" s="121"/>
      <c r="B665" s="122"/>
      <c r="D665" s="123"/>
      <c r="E665" s="127"/>
      <c r="F665" s="125"/>
      <c r="G665" s="125"/>
      <c r="I665" s="126"/>
      <c r="J665" s="127"/>
      <c r="K665" s="127"/>
    </row>
    <row r="666">
      <c r="A666" s="121"/>
      <c r="B666" s="122"/>
      <c r="D666" s="123"/>
      <c r="E666" s="127"/>
      <c r="F666" s="125"/>
      <c r="G666" s="125"/>
      <c r="I666" s="126"/>
      <c r="J666" s="127"/>
      <c r="K666" s="127"/>
    </row>
    <row r="667">
      <c r="A667" s="121"/>
      <c r="B667" s="122"/>
      <c r="D667" s="123"/>
      <c r="E667" s="127"/>
      <c r="F667" s="125"/>
      <c r="G667" s="125"/>
      <c r="I667" s="126"/>
      <c r="J667" s="127"/>
      <c r="K667" s="127"/>
    </row>
    <row r="668">
      <c r="A668" s="121"/>
      <c r="B668" s="122"/>
      <c r="D668" s="123"/>
      <c r="E668" s="127"/>
      <c r="F668" s="125"/>
      <c r="G668" s="125"/>
      <c r="I668" s="126"/>
      <c r="J668" s="127"/>
      <c r="K668" s="127"/>
    </row>
    <row r="669">
      <c r="A669" s="121"/>
      <c r="B669" s="122"/>
      <c r="D669" s="123"/>
      <c r="E669" s="127"/>
      <c r="F669" s="125"/>
      <c r="G669" s="125"/>
      <c r="I669" s="126"/>
      <c r="J669" s="127"/>
      <c r="K669" s="127"/>
    </row>
    <row r="670">
      <c r="A670" s="121"/>
      <c r="B670" s="122"/>
      <c r="D670" s="123"/>
      <c r="E670" s="127"/>
      <c r="F670" s="125"/>
      <c r="G670" s="125"/>
      <c r="I670" s="126"/>
      <c r="J670" s="127"/>
      <c r="K670" s="127"/>
    </row>
    <row r="671">
      <c r="A671" s="121"/>
      <c r="B671" s="122"/>
      <c r="D671" s="123"/>
      <c r="E671" s="127"/>
      <c r="F671" s="125"/>
      <c r="G671" s="125"/>
      <c r="I671" s="126"/>
      <c r="J671" s="127"/>
      <c r="K671" s="127"/>
    </row>
    <row r="672">
      <c r="A672" s="121"/>
      <c r="B672" s="122"/>
      <c r="D672" s="123"/>
      <c r="E672" s="127"/>
      <c r="F672" s="125"/>
      <c r="G672" s="125"/>
      <c r="I672" s="126"/>
      <c r="J672" s="127"/>
      <c r="K672" s="127"/>
    </row>
    <row r="673">
      <c r="A673" s="121"/>
      <c r="B673" s="122"/>
      <c r="D673" s="123"/>
      <c r="E673" s="127"/>
      <c r="F673" s="125"/>
      <c r="G673" s="125"/>
      <c r="I673" s="126"/>
      <c r="J673" s="127"/>
      <c r="K673" s="127"/>
    </row>
    <row r="674">
      <c r="A674" s="121"/>
      <c r="B674" s="122"/>
      <c r="D674" s="123"/>
      <c r="E674" s="127"/>
      <c r="F674" s="125"/>
      <c r="G674" s="125"/>
      <c r="I674" s="126"/>
      <c r="J674" s="127"/>
      <c r="K674" s="127"/>
    </row>
    <row r="675">
      <c r="A675" s="121"/>
      <c r="B675" s="122"/>
      <c r="D675" s="123"/>
      <c r="E675" s="127"/>
      <c r="F675" s="125"/>
      <c r="G675" s="125"/>
      <c r="I675" s="126"/>
      <c r="J675" s="127"/>
      <c r="K675" s="127"/>
    </row>
    <row r="676">
      <c r="A676" s="121"/>
      <c r="B676" s="122"/>
      <c r="D676" s="123"/>
      <c r="E676" s="127"/>
      <c r="F676" s="125"/>
      <c r="G676" s="125"/>
      <c r="I676" s="126"/>
      <c r="J676" s="127"/>
      <c r="K676" s="127"/>
    </row>
    <row r="677">
      <c r="A677" s="121"/>
      <c r="B677" s="122"/>
      <c r="D677" s="123"/>
      <c r="E677" s="127"/>
      <c r="F677" s="125"/>
      <c r="G677" s="125"/>
      <c r="I677" s="126"/>
      <c r="J677" s="127"/>
      <c r="K677" s="127"/>
    </row>
    <row r="678">
      <c r="A678" s="121"/>
      <c r="B678" s="122"/>
      <c r="D678" s="123"/>
      <c r="E678" s="127"/>
      <c r="F678" s="125"/>
      <c r="G678" s="125"/>
      <c r="I678" s="126"/>
      <c r="J678" s="127"/>
      <c r="K678" s="127"/>
    </row>
    <row r="679">
      <c r="A679" s="121"/>
      <c r="B679" s="122"/>
      <c r="D679" s="123"/>
      <c r="E679" s="127"/>
      <c r="F679" s="125"/>
      <c r="G679" s="125"/>
      <c r="I679" s="126"/>
      <c r="J679" s="127"/>
      <c r="K679" s="127"/>
    </row>
    <row r="680">
      <c r="A680" s="121"/>
      <c r="B680" s="122"/>
      <c r="D680" s="123"/>
      <c r="E680" s="127"/>
      <c r="F680" s="125"/>
      <c r="G680" s="125"/>
      <c r="I680" s="126"/>
      <c r="J680" s="127"/>
      <c r="K680" s="127"/>
    </row>
    <row r="681">
      <c r="A681" s="121"/>
      <c r="B681" s="122"/>
      <c r="D681" s="123"/>
      <c r="E681" s="127"/>
      <c r="F681" s="125"/>
      <c r="G681" s="125"/>
      <c r="I681" s="126"/>
      <c r="J681" s="127"/>
      <c r="K681" s="127"/>
    </row>
    <row r="682">
      <c r="A682" s="121"/>
      <c r="B682" s="122"/>
      <c r="D682" s="123"/>
      <c r="E682" s="127"/>
      <c r="F682" s="125"/>
      <c r="G682" s="125"/>
      <c r="I682" s="126"/>
      <c r="J682" s="127"/>
      <c r="K682" s="127"/>
    </row>
    <row r="683">
      <c r="A683" s="121"/>
      <c r="B683" s="122"/>
      <c r="D683" s="123"/>
      <c r="E683" s="127"/>
      <c r="F683" s="125"/>
      <c r="G683" s="125"/>
      <c r="I683" s="126"/>
      <c r="J683" s="127"/>
      <c r="K683" s="127"/>
    </row>
    <row r="684">
      <c r="A684" s="121"/>
      <c r="B684" s="122"/>
      <c r="D684" s="123"/>
      <c r="E684" s="127"/>
      <c r="F684" s="125"/>
      <c r="G684" s="125"/>
      <c r="I684" s="126"/>
      <c r="J684" s="127"/>
      <c r="K684" s="127"/>
    </row>
    <row r="685">
      <c r="A685" s="121"/>
      <c r="B685" s="122"/>
      <c r="D685" s="123"/>
      <c r="E685" s="127"/>
      <c r="F685" s="125"/>
      <c r="G685" s="125"/>
      <c r="I685" s="126"/>
      <c r="J685" s="127"/>
      <c r="K685" s="127"/>
    </row>
    <row r="686">
      <c r="A686" s="121"/>
      <c r="B686" s="122"/>
      <c r="D686" s="123"/>
      <c r="E686" s="127"/>
      <c r="F686" s="125"/>
      <c r="G686" s="125"/>
      <c r="I686" s="126"/>
      <c r="J686" s="127"/>
      <c r="K686" s="127"/>
    </row>
    <row r="687">
      <c r="A687" s="121"/>
      <c r="B687" s="122"/>
      <c r="D687" s="123"/>
      <c r="E687" s="127"/>
      <c r="F687" s="125"/>
      <c r="G687" s="125"/>
      <c r="I687" s="126"/>
      <c r="J687" s="127"/>
      <c r="K687" s="127"/>
    </row>
    <row r="688">
      <c r="A688" s="121"/>
      <c r="B688" s="122"/>
      <c r="D688" s="123"/>
      <c r="E688" s="127"/>
      <c r="F688" s="125"/>
      <c r="G688" s="125"/>
      <c r="I688" s="126"/>
      <c r="J688" s="127"/>
      <c r="K688" s="127"/>
    </row>
    <row r="689">
      <c r="A689" s="121"/>
      <c r="B689" s="122"/>
      <c r="D689" s="123"/>
      <c r="E689" s="127"/>
      <c r="F689" s="125"/>
      <c r="G689" s="125"/>
      <c r="I689" s="126"/>
      <c r="J689" s="127"/>
      <c r="K689" s="127"/>
    </row>
    <row r="690">
      <c r="A690" s="121"/>
      <c r="B690" s="122"/>
      <c r="D690" s="123"/>
      <c r="E690" s="127"/>
      <c r="F690" s="125"/>
      <c r="G690" s="125"/>
      <c r="I690" s="126"/>
      <c r="J690" s="127"/>
      <c r="K690" s="127"/>
    </row>
    <row r="691">
      <c r="A691" s="121"/>
      <c r="B691" s="122"/>
      <c r="D691" s="123"/>
      <c r="E691" s="127"/>
      <c r="F691" s="125"/>
      <c r="G691" s="125"/>
      <c r="I691" s="126"/>
      <c r="J691" s="127"/>
      <c r="K691" s="127"/>
    </row>
    <row r="692">
      <c r="A692" s="121"/>
      <c r="B692" s="122"/>
      <c r="D692" s="123"/>
      <c r="E692" s="127"/>
      <c r="F692" s="125"/>
      <c r="G692" s="125"/>
      <c r="I692" s="126"/>
      <c r="J692" s="127"/>
      <c r="K692" s="127"/>
    </row>
    <row r="693">
      <c r="A693" s="121"/>
      <c r="B693" s="122"/>
      <c r="D693" s="123"/>
      <c r="E693" s="127"/>
      <c r="F693" s="125"/>
      <c r="G693" s="125"/>
      <c r="I693" s="126"/>
      <c r="J693" s="127"/>
      <c r="K693" s="127"/>
    </row>
    <row r="694">
      <c r="A694" s="121"/>
      <c r="B694" s="122"/>
      <c r="D694" s="123"/>
      <c r="E694" s="127"/>
      <c r="F694" s="125"/>
      <c r="G694" s="125"/>
      <c r="I694" s="126"/>
      <c r="J694" s="127"/>
      <c r="K694" s="127"/>
    </row>
    <row r="695">
      <c r="A695" s="121"/>
      <c r="B695" s="122"/>
      <c r="D695" s="123"/>
      <c r="E695" s="127"/>
      <c r="F695" s="125"/>
      <c r="G695" s="125"/>
      <c r="I695" s="126"/>
      <c r="J695" s="127"/>
      <c r="K695" s="127"/>
    </row>
    <row r="696">
      <c r="A696" s="121"/>
      <c r="B696" s="122"/>
      <c r="D696" s="123"/>
      <c r="E696" s="127"/>
      <c r="F696" s="125"/>
      <c r="G696" s="125"/>
      <c r="I696" s="126"/>
      <c r="J696" s="127"/>
      <c r="K696" s="127"/>
    </row>
    <row r="697">
      <c r="A697" s="121"/>
      <c r="B697" s="122"/>
      <c r="D697" s="123"/>
      <c r="E697" s="127"/>
      <c r="F697" s="125"/>
      <c r="G697" s="125"/>
      <c r="I697" s="126"/>
      <c r="J697" s="127"/>
      <c r="K697" s="127"/>
    </row>
    <row r="698">
      <c r="A698" s="121"/>
      <c r="B698" s="122"/>
      <c r="D698" s="123"/>
      <c r="E698" s="127"/>
      <c r="F698" s="125"/>
      <c r="G698" s="125"/>
      <c r="I698" s="126"/>
      <c r="J698" s="127"/>
      <c r="K698" s="127"/>
    </row>
    <row r="699">
      <c r="A699" s="121"/>
      <c r="B699" s="122"/>
      <c r="D699" s="123"/>
      <c r="E699" s="127"/>
      <c r="F699" s="125"/>
      <c r="G699" s="125"/>
      <c r="I699" s="126"/>
      <c r="J699" s="127"/>
      <c r="K699" s="127"/>
    </row>
    <row r="700">
      <c r="A700" s="121"/>
      <c r="B700" s="122"/>
      <c r="D700" s="123"/>
      <c r="E700" s="127"/>
      <c r="F700" s="125"/>
      <c r="G700" s="125"/>
      <c r="I700" s="126"/>
      <c r="J700" s="127"/>
      <c r="K700" s="127"/>
    </row>
    <row r="701">
      <c r="A701" s="121"/>
      <c r="B701" s="122"/>
      <c r="D701" s="123"/>
      <c r="E701" s="127"/>
      <c r="F701" s="125"/>
      <c r="G701" s="125"/>
      <c r="I701" s="126"/>
      <c r="J701" s="127"/>
      <c r="K701" s="127"/>
    </row>
    <row r="702">
      <c r="A702" s="121"/>
      <c r="B702" s="122"/>
      <c r="D702" s="123"/>
      <c r="E702" s="127"/>
      <c r="F702" s="125"/>
      <c r="G702" s="125"/>
      <c r="I702" s="126"/>
      <c r="J702" s="127"/>
      <c r="K702" s="127"/>
    </row>
    <row r="703">
      <c r="A703" s="121"/>
      <c r="B703" s="122"/>
      <c r="D703" s="123"/>
      <c r="E703" s="127"/>
      <c r="F703" s="125"/>
      <c r="G703" s="125"/>
      <c r="I703" s="126"/>
      <c r="J703" s="127"/>
      <c r="K703" s="127"/>
    </row>
    <row r="704">
      <c r="A704" s="121"/>
      <c r="B704" s="122"/>
      <c r="D704" s="123"/>
      <c r="E704" s="127"/>
      <c r="F704" s="125"/>
      <c r="G704" s="125"/>
      <c r="I704" s="126"/>
      <c r="J704" s="127"/>
      <c r="K704" s="127"/>
    </row>
    <row r="705">
      <c r="A705" s="121"/>
      <c r="B705" s="122"/>
      <c r="D705" s="123"/>
      <c r="E705" s="127"/>
      <c r="F705" s="125"/>
      <c r="G705" s="125"/>
      <c r="I705" s="126"/>
      <c r="J705" s="127"/>
      <c r="K705" s="127"/>
    </row>
    <row r="706">
      <c r="A706" s="121"/>
      <c r="B706" s="122"/>
      <c r="D706" s="123"/>
      <c r="E706" s="127"/>
      <c r="F706" s="125"/>
      <c r="G706" s="125"/>
      <c r="I706" s="126"/>
      <c r="J706" s="127"/>
      <c r="K706" s="127"/>
    </row>
    <row r="707">
      <c r="A707" s="121"/>
      <c r="B707" s="122"/>
      <c r="D707" s="123"/>
      <c r="E707" s="127"/>
      <c r="F707" s="125"/>
      <c r="G707" s="125"/>
      <c r="I707" s="126"/>
      <c r="J707" s="127"/>
      <c r="K707" s="127"/>
    </row>
    <row r="708">
      <c r="A708" s="121"/>
      <c r="B708" s="122"/>
      <c r="D708" s="123"/>
      <c r="E708" s="127"/>
      <c r="F708" s="125"/>
      <c r="G708" s="125"/>
      <c r="I708" s="126"/>
      <c r="J708" s="127"/>
      <c r="K708" s="127"/>
    </row>
    <row r="709">
      <c r="A709" s="121"/>
      <c r="B709" s="122"/>
      <c r="D709" s="123"/>
      <c r="E709" s="127"/>
      <c r="F709" s="125"/>
      <c r="G709" s="125"/>
      <c r="I709" s="126"/>
      <c r="J709" s="127"/>
      <c r="K709" s="127"/>
    </row>
    <row r="710">
      <c r="A710" s="121"/>
      <c r="B710" s="122"/>
      <c r="D710" s="123"/>
      <c r="E710" s="127"/>
      <c r="F710" s="125"/>
      <c r="G710" s="125"/>
      <c r="I710" s="126"/>
      <c r="J710" s="127"/>
      <c r="K710" s="127"/>
    </row>
    <row r="711">
      <c r="A711" s="121"/>
      <c r="B711" s="122"/>
      <c r="D711" s="123"/>
      <c r="E711" s="127"/>
      <c r="F711" s="125"/>
      <c r="G711" s="125"/>
      <c r="I711" s="126"/>
      <c r="J711" s="127"/>
      <c r="K711" s="127"/>
    </row>
    <row r="712">
      <c r="A712" s="121"/>
      <c r="B712" s="122"/>
      <c r="D712" s="123"/>
      <c r="E712" s="127"/>
      <c r="F712" s="125"/>
      <c r="G712" s="125"/>
      <c r="I712" s="126"/>
      <c r="J712" s="127"/>
      <c r="K712" s="127"/>
    </row>
    <row r="713">
      <c r="A713" s="121"/>
      <c r="B713" s="122"/>
      <c r="D713" s="123"/>
      <c r="E713" s="127"/>
      <c r="F713" s="125"/>
      <c r="G713" s="125"/>
      <c r="I713" s="126"/>
      <c r="J713" s="127"/>
      <c r="K713" s="127"/>
    </row>
    <row r="714">
      <c r="A714" s="121"/>
      <c r="B714" s="122"/>
      <c r="D714" s="123"/>
      <c r="E714" s="127"/>
      <c r="F714" s="125"/>
      <c r="G714" s="125"/>
      <c r="I714" s="126"/>
      <c r="J714" s="127"/>
      <c r="K714" s="127"/>
    </row>
    <row r="715">
      <c r="A715" s="121"/>
      <c r="B715" s="122"/>
      <c r="D715" s="123"/>
      <c r="E715" s="127"/>
      <c r="F715" s="125"/>
      <c r="G715" s="125"/>
      <c r="I715" s="126"/>
      <c r="J715" s="127"/>
      <c r="K715" s="127"/>
    </row>
    <row r="716">
      <c r="A716" s="121"/>
      <c r="B716" s="122"/>
      <c r="D716" s="123"/>
      <c r="E716" s="127"/>
      <c r="F716" s="125"/>
      <c r="G716" s="125"/>
      <c r="I716" s="126"/>
      <c r="J716" s="127"/>
      <c r="K716" s="127"/>
    </row>
    <row r="717">
      <c r="A717" s="121"/>
      <c r="B717" s="122"/>
      <c r="D717" s="123"/>
      <c r="E717" s="127"/>
      <c r="F717" s="125"/>
      <c r="G717" s="125"/>
      <c r="I717" s="126"/>
      <c r="J717" s="127"/>
      <c r="K717" s="127"/>
    </row>
    <row r="718">
      <c r="A718" s="121"/>
      <c r="B718" s="122"/>
      <c r="D718" s="123"/>
      <c r="E718" s="127"/>
      <c r="F718" s="125"/>
      <c r="G718" s="125"/>
      <c r="I718" s="126"/>
      <c r="J718" s="127"/>
      <c r="K718" s="127"/>
    </row>
    <row r="719">
      <c r="A719" s="121"/>
      <c r="B719" s="122"/>
      <c r="D719" s="123"/>
      <c r="E719" s="127"/>
      <c r="F719" s="125"/>
      <c r="G719" s="125"/>
      <c r="I719" s="126"/>
      <c r="J719" s="127"/>
      <c r="K719" s="127"/>
    </row>
    <row r="720">
      <c r="A720" s="121"/>
      <c r="B720" s="122"/>
      <c r="D720" s="123"/>
      <c r="E720" s="127"/>
      <c r="F720" s="125"/>
      <c r="G720" s="125"/>
      <c r="I720" s="126"/>
      <c r="J720" s="127"/>
      <c r="K720" s="127"/>
    </row>
    <row r="721">
      <c r="A721" s="121"/>
      <c r="B721" s="122"/>
      <c r="D721" s="123"/>
      <c r="E721" s="127"/>
      <c r="F721" s="125"/>
      <c r="G721" s="125"/>
      <c r="I721" s="126"/>
      <c r="J721" s="127"/>
      <c r="K721" s="127"/>
    </row>
    <row r="722">
      <c r="A722" s="121"/>
      <c r="B722" s="122"/>
      <c r="D722" s="123"/>
      <c r="E722" s="127"/>
      <c r="F722" s="125"/>
      <c r="G722" s="125"/>
      <c r="I722" s="126"/>
      <c r="J722" s="127"/>
      <c r="K722" s="127"/>
    </row>
    <row r="723">
      <c r="A723" s="121"/>
      <c r="B723" s="122"/>
      <c r="D723" s="123"/>
      <c r="E723" s="127"/>
      <c r="F723" s="125"/>
      <c r="G723" s="125"/>
      <c r="I723" s="126"/>
      <c r="J723" s="127"/>
      <c r="K723" s="127"/>
    </row>
    <row r="724">
      <c r="A724" s="121"/>
      <c r="B724" s="122"/>
      <c r="D724" s="123"/>
      <c r="E724" s="127"/>
      <c r="F724" s="125"/>
      <c r="G724" s="125"/>
      <c r="I724" s="126"/>
      <c r="J724" s="127"/>
      <c r="K724" s="127"/>
    </row>
    <row r="725">
      <c r="A725" s="121"/>
      <c r="B725" s="122"/>
      <c r="D725" s="123"/>
      <c r="E725" s="127"/>
      <c r="F725" s="125"/>
      <c r="G725" s="125"/>
      <c r="I725" s="126"/>
      <c r="J725" s="127"/>
      <c r="K725" s="127"/>
    </row>
    <row r="726">
      <c r="A726" s="121"/>
      <c r="B726" s="122"/>
      <c r="D726" s="123"/>
      <c r="E726" s="127"/>
      <c r="F726" s="125"/>
      <c r="G726" s="125"/>
      <c r="I726" s="126"/>
      <c r="J726" s="127"/>
      <c r="K726" s="127"/>
    </row>
    <row r="727">
      <c r="A727" s="121"/>
      <c r="B727" s="122"/>
      <c r="D727" s="123"/>
      <c r="E727" s="127"/>
      <c r="F727" s="125"/>
      <c r="G727" s="125"/>
      <c r="I727" s="126"/>
      <c r="J727" s="127"/>
      <c r="K727" s="127"/>
    </row>
    <row r="728">
      <c r="A728" s="121"/>
      <c r="B728" s="122"/>
      <c r="D728" s="123"/>
      <c r="E728" s="127"/>
      <c r="F728" s="125"/>
      <c r="G728" s="125"/>
      <c r="I728" s="126"/>
      <c r="J728" s="127"/>
      <c r="K728" s="127"/>
    </row>
    <row r="729">
      <c r="A729" s="121"/>
      <c r="B729" s="122"/>
      <c r="D729" s="123"/>
      <c r="E729" s="127"/>
      <c r="F729" s="125"/>
      <c r="G729" s="125"/>
      <c r="I729" s="126"/>
      <c r="J729" s="127"/>
      <c r="K729" s="127"/>
    </row>
    <row r="730">
      <c r="A730" s="121"/>
      <c r="B730" s="122"/>
      <c r="D730" s="123"/>
      <c r="E730" s="127"/>
      <c r="F730" s="125"/>
      <c r="G730" s="125"/>
      <c r="I730" s="126"/>
      <c r="J730" s="127"/>
      <c r="K730" s="127"/>
    </row>
    <row r="731">
      <c r="A731" s="121"/>
      <c r="B731" s="122"/>
      <c r="D731" s="123"/>
      <c r="E731" s="127"/>
      <c r="F731" s="125"/>
      <c r="G731" s="125"/>
      <c r="I731" s="126"/>
      <c r="J731" s="127"/>
      <c r="K731" s="127"/>
    </row>
    <row r="732">
      <c r="A732" s="121"/>
      <c r="B732" s="122"/>
      <c r="D732" s="123"/>
      <c r="E732" s="127"/>
      <c r="F732" s="125"/>
      <c r="G732" s="125"/>
      <c r="I732" s="126"/>
      <c r="J732" s="127"/>
      <c r="K732" s="127"/>
    </row>
    <row r="733">
      <c r="A733" s="121"/>
      <c r="B733" s="122"/>
      <c r="D733" s="123"/>
      <c r="E733" s="127"/>
      <c r="F733" s="125"/>
      <c r="G733" s="125"/>
      <c r="I733" s="126"/>
      <c r="J733" s="127"/>
      <c r="K733" s="127"/>
    </row>
    <row r="734">
      <c r="A734" s="121"/>
      <c r="B734" s="122"/>
      <c r="D734" s="123"/>
      <c r="E734" s="127"/>
      <c r="F734" s="125"/>
      <c r="G734" s="125"/>
      <c r="I734" s="126"/>
      <c r="J734" s="127"/>
      <c r="K734" s="127"/>
    </row>
    <row r="735">
      <c r="A735" s="121"/>
      <c r="B735" s="122"/>
      <c r="D735" s="123"/>
      <c r="E735" s="127"/>
      <c r="F735" s="125"/>
      <c r="G735" s="125"/>
      <c r="I735" s="126"/>
      <c r="J735" s="127"/>
      <c r="K735" s="127"/>
    </row>
    <row r="736">
      <c r="A736" s="121"/>
      <c r="B736" s="122"/>
      <c r="D736" s="123"/>
      <c r="E736" s="127"/>
      <c r="F736" s="125"/>
      <c r="G736" s="125"/>
      <c r="I736" s="126"/>
      <c r="J736" s="127"/>
      <c r="K736" s="127"/>
    </row>
    <row r="737">
      <c r="A737" s="121"/>
      <c r="B737" s="122"/>
      <c r="D737" s="123"/>
      <c r="E737" s="127"/>
      <c r="F737" s="125"/>
      <c r="G737" s="125"/>
      <c r="I737" s="126"/>
      <c r="J737" s="127"/>
      <c r="K737" s="127"/>
    </row>
    <row r="738">
      <c r="A738" s="121"/>
      <c r="B738" s="122"/>
      <c r="D738" s="123"/>
      <c r="E738" s="127"/>
      <c r="F738" s="125"/>
      <c r="G738" s="125"/>
      <c r="I738" s="126"/>
      <c r="J738" s="127"/>
      <c r="K738" s="127"/>
    </row>
    <row r="739">
      <c r="A739" s="121"/>
      <c r="B739" s="122"/>
      <c r="D739" s="123"/>
      <c r="E739" s="127"/>
      <c r="F739" s="125"/>
      <c r="G739" s="125"/>
      <c r="I739" s="126"/>
      <c r="J739" s="127"/>
      <c r="K739" s="127"/>
    </row>
    <row r="740">
      <c r="A740" s="121"/>
      <c r="B740" s="122"/>
      <c r="D740" s="123"/>
      <c r="E740" s="127"/>
      <c r="F740" s="125"/>
      <c r="G740" s="125"/>
      <c r="I740" s="126"/>
      <c r="J740" s="127"/>
      <c r="K740" s="127"/>
    </row>
    <row r="741">
      <c r="A741" s="121"/>
      <c r="B741" s="122"/>
      <c r="D741" s="123"/>
      <c r="E741" s="127"/>
      <c r="F741" s="125"/>
      <c r="G741" s="125"/>
      <c r="I741" s="126"/>
      <c r="J741" s="127"/>
      <c r="K741" s="127"/>
    </row>
    <row r="742">
      <c r="A742" s="121"/>
      <c r="B742" s="122"/>
      <c r="D742" s="123"/>
      <c r="E742" s="127"/>
      <c r="F742" s="125"/>
      <c r="G742" s="125"/>
      <c r="I742" s="126"/>
      <c r="J742" s="127"/>
      <c r="K742" s="127"/>
    </row>
    <row r="743">
      <c r="A743" s="121"/>
      <c r="B743" s="122"/>
      <c r="D743" s="123"/>
      <c r="E743" s="127"/>
      <c r="F743" s="125"/>
      <c r="G743" s="125"/>
      <c r="I743" s="126"/>
      <c r="J743" s="127"/>
      <c r="K743" s="127"/>
    </row>
    <row r="744">
      <c r="A744" s="121"/>
      <c r="B744" s="122"/>
      <c r="D744" s="123"/>
      <c r="E744" s="127"/>
      <c r="F744" s="125"/>
      <c r="G744" s="125"/>
      <c r="I744" s="126"/>
      <c r="J744" s="127"/>
      <c r="K744" s="127"/>
    </row>
    <row r="745">
      <c r="A745" s="121"/>
      <c r="B745" s="122"/>
      <c r="D745" s="123"/>
      <c r="E745" s="127"/>
      <c r="F745" s="125"/>
      <c r="G745" s="125"/>
      <c r="I745" s="126"/>
      <c r="J745" s="127"/>
      <c r="K745" s="127"/>
    </row>
    <row r="746">
      <c r="A746" s="121"/>
      <c r="B746" s="122"/>
      <c r="D746" s="123"/>
      <c r="E746" s="127"/>
      <c r="F746" s="125"/>
      <c r="G746" s="125"/>
      <c r="I746" s="126"/>
      <c r="J746" s="127"/>
      <c r="K746" s="127"/>
    </row>
    <row r="747">
      <c r="A747" s="121"/>
      <c r="B747" s="122"/>
      <c r="D747" s="123"/>
      <c r="E747" s="127"/>
      <c r="F747" s="125"/>
      <c r="G747" s="125"/>
      <c r="I747" s="126"/>
      <c r="J747" s="127"/>
      <c r="K747" s="127"/>
    </row>
    <row r="748">
      <c r="A748" s="121"/>
      <c r="B748" s="122"/>
      <c r="D748" s="123"/>
      <c r="E748" s="127"/>
      <c r="F748" s="125"/>
      <c r="G748" s="125"/>
      <c r="I748" s="126"/>
      <c r="J748" s="127"/>
      <c r="K748" s="127"/>
    </row>
    <row r="749">
      <c r="A749" s="121"/>
      <c r="B749" s="122"/>
      <c r="D749" s="123"/>
      <c r="E749" s="127"/>
      <c r="F749" s="125"/>
      <c r="G749" s="125"/>
      <c r="I749" s="126"/>
      <c r="J749" s="127"/>
      <c r="K749" s="127"/>
    </row>
    <row r="750">
      <c r="A750" s="121"/>
      <c r="B750" s="122"/>
      <c r="D750" s="123"/>
      <c r="E750" s="127"/>
      <c r="F750" s="125"/>
      <c r="G750" s="125"/>
      <c r="I750" s="126"/>
      <c r="J750" s="127"/>
      <c r="K750" s="127"/>
    </row>
    <row r="751">
      <c r="A751" s="121"/>
      <c r="B751" s="122"/>
      <c r="D751" s="123"/>
      <c r="E751" s="127"/>
      <c r="F751" s="125"/>
      <c r="G751" s="125"/>
      <c r="I751" s="126"/>
      <c r="J751" s="127"/>
      <c r="K751" s="127"/>
    </row>
    <row r="752">
      <c r="A752" s="121"/>
      <c r="B752" s="122"/>
      <c r="D752" s="123"/>
      <c r="E752" s="127"/>
      <c r="F752" s="125"/>
      <c r="G752" s="125"/>
      <c r="I752" s="126"/>
      <c r="J752" s="127"/>
      <c r="K752" s="127"/>
    </row>
    <row r="753">
      <c r="A753" s="121"/>
      <c r="B753" s="122"/>
      <c r="D753" s="123"/>
      <c r="E753" s="127"/>
      <c r="F753" s="125"/>
      <c r="G753" s="125"/>
      <c r="I753" s="126"/>
      <c r="J753" s="127"/>
      <c r="K753" s="127"/>
    </row>
    <row r="754">
      <c r="A754" s="121"/>
      <c r="B754" s="122"/>
      <c r="D754" s="123"/>
      <c r="E754" s="127"/>
      <c r="F754" s="125"/>
      <c r="G754" s="125"/>
      <c r="I754" s="126"/>
      <c r="J754" s="127"/>
      <c r="K754" s="127"/>
    </row>
    <row r="755">
      <c r="A755" s="121"/>
      <c r="B755" s="122"/>
      <c r="D755" s="123"/>
      <c r="E755" s="127"/>
      <c r="F755" s="125"/>
      <c r="G755" s="125"/>
      <c r="I755" s="126"/>
      <c r="J755" s="127"/>
      <c r="K755" s="127"/>
    </row>
    <row r="756">
      <c r="A756" s="121"/>
      <c r="B756" s="122"/>
      <c r="D756" s="123"/>
      <c r="E756" s="127"/>
      <c r="F756" s="125"/>
      <c r="G756" s="125"/>
      <c r="I756" s="126"/>
      <c r="J756" s="127"/>
      <c r="K756" s="127"/>
    </row>
    <row r="757">
      <c r="A757" s="121"/>
      <c r="B757" s="122"/>
      <c r="D757" s="123"/>
      <c r="E757" s="127"/>
      <c r="F757" s="125"/>
      <c r="G757" s="125"/>
      <c r="I757" s="126"/>
      <c r="J757" s="127"/>
      <c r="K757" s="127"/>
    </row>
    <row r="758">
      <c r="A758" s="121"/>
      <c r="B758" s="122"/>
      <c r="D758" s="123"/>
      <c r="E758" s="127"/>
      <c r="F758" s="125"/>
      <c r="G758" s="125"/>
      <c r="I758" s="126"/>
      <c r="J758" s="127"/>
      <c r="K758" s="127"/>
    </row>
    <row r="759">
      <c r="A759" s="121"/>
      <c r="B759" s="122"/>
      <c r="D759" s="123"/>
      <c r="E759" s="127"/>
      <c r="F759" s="125"/>
      <c r="G759" s="125"/>
      <c r="I759" s="126"/>
      <c r="J759" s="127"/>
      <c r="K759" s="127"/>
    </row>
    <row r="760">
      <c r="A760" s="121"/>
      <c r="B760" s="122"/>
      <c r="D760" s="123"/>
      <c r="E760" s="127"/>
      <c r="F760" s="125"/>
      <c r="G760" s="125"/>
      <c r="I760" s="126"/>
      <c r="J760" s="127"/>
      <c r="K760" s="127"/>
    </row>
    <row r="761">
      <c r="A761" s="121"/>
      <c r="B761" s="122"/>
      <c r="D761" s="123"/>
      <c r="E761" s="127"/>
      <c r="F761" s="125"/>
      <c r="G761" s="125"/>
      <c r="I761" s="126"/>
      <c r="J761" s="127"/>
      <c r="K761" s="127"/>
    </row>
    <row r="762">
      <c r="A762" s="121"/>
      <c r="B762" s="122"/>
      <c r="D762" s="123"/>
      <c r="E762" s="127"/>
      <c r="F762" s="125"/>
      <c r="G762" s="125"/>
      <c r="I762" s="126"/>
      <c r="J762" s="127"/>
      <c r="K762" s="127"/>
    </row>
    <row r="763">
      <c r="A763" s="121"/>
      <c r="B763" s="122"/>
      <c r="D763" s="123"/>
      <c r="E763" s="127"/>
      <c r="F763" s="125"/>
      <c r="G763" s="125"/>
      <c r="I763" s="126"/>
      <c r="J763" s="127"/>
      <c r="K763" s="127"/>
    </row>
    <row r="764">
      <c r="A764" s="121"/>
      <c r="B764" s="122"/>
      <c r="D764" s="123"/>
      <c r="E764" s="127"/>
      <c r="F764" s="125"/>
      <c r="G764" s="125"/>
      <c r="I764" s="126"/>
      <c r="J764" s="127"/>
      <c r="K764" s="127"/>
    </row>
    <row r="765">
      <c r="A765" s="121"/>
      <c r="B765" s="122"/>
      <c r="D765" s="123"/>
      <c r="E765" s="127"/>
      <c r="F765" s="125"/>
      <c r="G765" s="125"/>
      <c r="I765" s="126"/>
      <c r="J765" s="127"/>
      <c r="K765" s="127"/>
    </row>
    <row r="766">
      <c r="A766" s="121"/>
      <c r="B766" s="122"/>
      <c r="D766" s="123"/>
      <c r="E766" s="127"/>
      <c r="F766" s="125"/>
      <c r="G766" s="125"/>
      <c r="I766" s="126"/>
      <c r="J766" s="127"/>
      <c r="K766" s="127"/>
    </row>
    <row r="767">
      <c r="A767" s="121"/>
      <c r="B767" s="122"/>
      <c r="D767" s="123"/>
      <c r="E767" s="127"/>
      <c r="F767" s="125"/>
      <c r="G767" s="125"/>
      <c r="I767" s="126"/>
      <c r="J767" s="127"/>
      <c r="K767" s="127"/>
    </row>
    <row r="768">
      <c r="A768" s="121"/>
      <c r="B768" s="122"/>
      <c r="D768" s="123"/>
      <c r="E768" s="127"/>
      <c r="F768" s="125"/>
      <c r="G768" s="125"/>
      <c r="I768" s="126"/>
      <c r="J768" s="127"/>
      <c r="K768" s="127"/>
    </row>
    <row r="769">
      <c r="A769" s="121"/>
      <c r="B769" s="122"/>
      <c r="D769" s="123"/>
      <c r="E769" s="127"/>
      <c r="F769" s="125"/>
      <c r="G769" s="125"/>
      <c r="I769" s="126"/>
      <c r="J769" s="127"/>
      <c r="K769" s="127"/>
    </row>
    <row r="770">
      <c r="A770" s="121"/>
      <c r="B770" s="122"/>
      <c r="D770" s="123"/>
      <c r="E770" s="127"/>
      <c r="F770" s="125"/>
      <c r="G770" s="125"/>
      <c r="I770" s="126"/>
      <c r="J770" s="127"/>
      <c r="K770" s="127"/>
    </row>
    <row r="771">
      <c r="A771" s="121"/>
      <c r="B771" s="122"/>
      <c r="D771" s="123"/>
      <c r="E771" s="127"/>
      <c r="F771" s="125"/>
      <c r="G771" s="125"/>
      <c r="I771" s="126"/>
      <c r="J771" s="127"/>
      <c r="K771" s="127"/>
    </row>
    <row r="772">
      <c r="A772" s="121"/>
      <c r="B772" s="122"/>
      <c r="D772" s="123"/>
      <c r="E772" s="127"/>
      <c r="F772" s="125"/>
      <c r="G772" s="125"/>
      <c r="I772" s="126"/>
      <c r="J772" s="127"/>
      <c r="K772" s="127"/>
    </row>
    <row r="773">
      <c r="A773" s="121"/>
      <c r="B773" s="122"/>
      <c r="D773" s="123"/>
      <c r="E773" s="127"/>
      <c r="F773" s="125"/>
      <c r="G773" s="125"/>
      <c r="I773" s="126"/>
      <c r="J773" s="127"/>
      <c r="K773" s="127"/>
    </row>
    <row r="774">
      <c r="A774" s="121"/>
      <c r="B774" s="122"/>
      <c r="D774" s="123"/>
      <c r="E774" s="127"/>
      <c r="F774" s="125"/>
      <c r="G774" s="125"/>
      <c r="I774" s="126"/>
      <c r="J774" s="127"/>
      <c r="K774" s="127"/>
    </row>
    <row r="775">
      <c r="A775" s="121"/>
      <c r="B775" s="122"/>
      <c r="D775" s="123"/>
      <c r="E775" s="127"/>
      <c r="F775" s="125"/>
      <c r="G775" s="125"/>
      <c r="I775" s="126"/>
      <c r="J775" s="127"/>
      <c r="K775" s="127"/>
    </row>
    <row r="776">
      <c r="A776" s="121"/>
      <c r="B776" s="122"/>
      <c r="D776" s="123"/>
      <c r="E776" s="127"/>
      <c r="F776" s="125"/>
      <c r="G776" s="125"/>
      <c r="I776" s="126"/>
      <c r="J776" s="127"/>
      <c r="K776" s="127"/>
    </row>
    <row r="777">
      <c r="A777" s="121"/>
      <c r="B777" s="122"/>
      <c r="D777" s="123"/>
      <c r="E777" s="127"/>
      <c r="F777" s="125"/>
      <c r="G777" s="125"/>
      <c r="I777" s="126"/>
      <c r="J777" s="127"/>
      <c r="K777" s="127"/>
    </row>
    <row r="778">
      <c r="A778" s="121"/>
      <c r="B778" s="122"/>
      <c r="D778" s="123"/>
      <c r="E778" s="127"/>
      <c r="F778" s="125"/>
      <c r="G778" s="125"/>
      <c r="I778" s="126"/>
      <c r="J778" s="127"/>
      <c r="K778" s="127"/>
    </row>
    <row r="779">
      <c r="A779" s="121"/>
      <c r="B779" s="122"/>
      <c r="D779" s="123"/>
      <c r="E779" s="127"/>
      <c r="F779" s="125"/>
      <c r="G779" s="125"/>
      <c r="I779" s="126"/>
      <c r="J779" s="127"/>
      <c r="K779" s="127"/>
    </row>
    <row r="780">
      <c r="A780" s="121"/>
      <c r="B780" s="122"/>
      <c r="D780" s="123"/>
      <c r="E780" s="127"/>
      <c r="F780" s="125"/>
      <c r="G780" s="125"/>
      <c r="I780" s="126"/>
      <c r="J780" s="127"/>
      <c r="K780" s="127"/>
    </row>
    <row r="781">
      <c r="A781" s="121"/>
      <c r="B781" s="122"/>
      <c r="D781" s="123"/>
      <c r="E781" s="127"/>
      <c r="F781" s="125"/>
      <c r="G781" s="125"/>
      <c r="I781" s="126"/>
      <c r="J781" s="127"/>
      <c r="K781" s="127"/>
    </row>
    <row r="782">
      <c r="A782" s="121"/>
      <c r="B782" s="122"/>
      <c r="D782" s="123"/>
      <c r="E782" s="127"/>
      <c r="F782" s="125"/>
      <c r="G782" s="125"/>
      <c r="I782" s="126"/>
      <c r="J782" s="127"/>
      <c r="K782" s="127"/>
    </row>
    <row r="783">
      <c r="A783" s="121"/>
      <c r="B783" s="122"/>
      <c r="D783" s="123"/>
      <c r="E783" s="127"/>
      <c r="F783" s="125"/>
      <c r="G783" s="125"/>
      <c r="I783" s="126"/>
      <c r="J783" s="127"/>
      <c r="K783" s="127"/>
    </row>
    <row r="784">
      <c r="A784" s="121"/>
      <c r="B784" s="122"/>
      <c r="D784" s="123"/>
      <c r="E784" s="127"/>
      <c r="F784" s="125"/>
      <c r="G784" s="125"/>
      <c r="I784" s="126"/>
      <c r="J784" s="127"/>
      <c r="K784" s="127"/>
    </row>
    <row r="785">
      <c r="A785" s="121"/>
      <c r="B785" s="122"/>
      <c r="D785" s="123"/>
      <c r="E785" s="127"/>
      <c r="F785" s="125"/>
      <c r="G785" s="125"/>
      <c r="I785" s="126"/>
      <c r="J785" s="127"/>
      <c r="K785" s="127"/>
    </row>
    <row r="786">
      <c r="A786" s="121"/>
      <c r="B786" s="122"/>
      <c r="D786" s="123"/>
      <c r="E786" s="127"/>
      <c r="F786" s="125"/>
      <c r="G786" s="125"/>
      <c r="I786" s="126"/>
      <c r="J786" s="127"/>
      <c r="K786" s="127"/>
    </row>
    <row r="787">
      <c r="A787" s="121"/>
      <c r="B787" s="122"/>
      <c r="D787" s="123"/>
      <c r="E787" s="127"/>
      <c r="F787" s="125"/>
      <c r="G787" s="125"/>
      <c r="I787" s="126"/>
      <c r="J787" s="127"/>
      <c r="K787" s="127"/>
    </row>
    <row r="788">
      <c r="A788" s="121"/>
      <c r="B788" s="122"/>
      <c r="D788" s="123"/>
      <c r="E788" s="127"/>
      <c r="F788" s="125"/>
      <c r="G788" s="125"/>
      <c r="I788" s="126"/>
      <c r="J788" s="127"/>
      <c r="K788" s="127"/>
    </row>
    <row r="789">
      <c r="A789" s="121"/>
      <c r="B789" s="122"/>
      <c r="D789" s="123"/>
      <c r="E789" s="127"/>
      <c r="F789" s="125"/>
      <c r="G789" s="125"/>
      <c r="I789" s="126"/>
      <c r="J789" s="127"/>
      <c r="K789" s="127"/>
    </row>
    <row r="790">
      <c r="A790" s="121"/>
      <c r="B790" s="122"/>
      <c r="D790" s="123"/>
      <c r="E790" s="127"/>
      <c r="F790" s="125"/>
      <c r="G790" s="125"/>
      <c r="I790" s="126"/>
      <c r="J790" s="127"/>
      <c r="K790" s="127"/>
    </row>
    <row r="791">
      <c r="A791" s="121"/>
      <c r="B791" s="122"/>
      <c r="D791" s="123"/>
      <c r="E791" s="127"/>
      <c r="F791" s="125"/>
      <c r="G791" s="125"/>
      <c r="I791" s="126"/>
      <c r="J791" s="127"/>
      <c r="K791" s="127"/>
    </row>
    <row r="792">
      <c r="A792" s="121"/>
      <c r="B792" s="122"/>
      <c r="D792" s="123"/>
      <c r="E792" s="127"/>
      <c r="F792" s="125"/>
      <c r="G792" s="125"/>
      <c r="I792" s="126"/>
      <c r="J792" s="127"/>
      <c r="K792" s="127"/>
    </row>
    <row r="793">
      <c r="A793" s="121"/>
      <c r="B793" s="122"/>
      <c r="D793" s="123"/>
      <c r="E793" s="127"/>
      <c r="F793" s="125"/>
      <c r="G793" s="125"/>
      <c r="I793" s="126"/>
      <c r="J793" s="127"/>
      <c r="K793" s="127"/>
    </row>
    <row r="794">
      <c r="A794" s="121"/>
      <c r="B794" s="122"/>
      <c r="D794" s="123"/>
      <c r="E794" s="127"/>
      <c r="F794" s="125"/>
      <c r="G794" s="125"/>
      <c r="I794" s="126"/>
      <c r="J794" s="127"/>
      <c r="K794" s="127"/>
    </row>
    <row r="795">
      <c r="A795" s="121"/>
      <c r="B795" s="122"/>
      <c r="D795" s="123"/>
      <c r="E795" s="127"/>
      <c r="F795" s="125"/>
      <c r="G795" s="125"/>
      <c r="I795" s="126"/>
      <c r="J795" s="127"/>
      <c r="K795" s="127"/>
    </row>
    <row r="796">
      <c r="A796" s="121"/>
      <c r="B796" s="122"/>
      <c r="D796" s="123"/>
      <c r="E796" s="127"/>
      <c r="F796" s="125"/>
      <c r="G796" s="125"/>
      <c r="I796" s="126"/>
      <c r="J796" s="127"/>
      <c r="K796" s="127"/>
    </row>
    <row r="797">
      <c r="A797" s="121"/>
      <c r="B797" s="122"/>
      <c r="D797" s="123"/>
      <c r="E797" s="127"/>
      <c r="F797" s="125"/>
      <c r="G797" s="125"/>
      <c r="I797" s="126"/>
      <c r="J797" s="127"/>
      <c r="K797" s="127"/>
    </row>
    <row r="798">
      <c r="A798" s="121"/>
      <c r="B798" s="122"/>
      <c r="D798" s="123"/>
      <c r="E798" s="127"/>
      <c r="F798" s="125"/>
      <c r="G798" s="125"/>
      <c r="I798" s="126"/>
      <c r="J798" s="127"/>
      <c r="K798" s="127"/>
    </row>
    <row r="799">
      <c r="A799" s="121"/>
      <c r="B799" s="122"/>
      <c r="D799" s="123"/>
      <c r="E799" s="127"/>
      <c r="F799" s="125"/>
      <c r="G799" s="125"/>
      <c r="I799" s="126"/>
      <c r="J799" s="127"/>
      <c r="K799" s="127"/>
    </row>
    <row r="800">
      <c r="A800" s="121"/>
      <c r="B800" s="122"/>
      <c r="D800" s="123"/>
      <c r="E800" s="127"/>
      <c r="F800" s="125"/>
      <c r="G800" s="125"/>
      <c r="I800" s="126"/>
      <c r="J800" s="127"/>
      <c r="K800" s="127"/>
    </row>
    <row r="801">
      <c r="A801" s="121"/>
      <c r="B801" s="122"/>
      <c r="D801" s="123"/>
      <c r="E801" s="127"/>
      <c r="F801" s="125"/>
      <c r="G801" s="125"/>
      <c r="I801" s="126"/>
      <c r="J801" s="127"/>
      <c r="K801" s="127"/>
    </row>
    <row r="802">
      <c r="A802" s="121"/>
      <c r="B802" s="122"/>
      <c r="D802" s="123"/>
      <c r="E802" s="127"/>
      <c r="F802" s="125"/>
      <c r="G802" s="125"/>
      <c r="I802" s="126"/>
      <c r="J802" s="127"/>
      <c r="K802" s="127"/>
    </row>
    <row r="803">
      <c r="A803" s="121"/>
      <c r="B803" s="122"/>
      <c r="D803" s="123"/>
      <c r="E803" s="127"/>
      <c r="F803" s="125"/>
      <c r="G803" s="125"/>
      <c r="I803" s="126"/>
      <c r="J803" s="127"/>
      <c r="K803" s="127"/>
    </row>
    <row r="804">
      <c r="A804" s="121"/>
      <c r="B804" s="122"/>
      <c r="D804" s="123"/>
      <c r="E804" s="127"/>
      <c r="F804" s="125"/>
      <c r="G804" s="125"/>
      <c r="I804" s="126"/>
      <c r="J804" s="127"/>
      <c r="K804" s="127"/>
    </row>
    <row r="805">
      <c r="A805" s="121"/>
      <c r="B805" s="122"/>
      <c r="D805" s="123"/>
      <c r="E805" s="127"/>
      <c r="F805" s="125"/>
      <c r="G805" s="125"/>
      <c r="I805" s="126"/>
      <c r="J805" s="127"/>
      <c r="K805" s="127"/>
    </row>
    <row r="806">
      <c r="A806" s="121"/>
      <c r="B806" s="122"/>
      <c r="D806" s="123"/>
      <c r="E806" s="127"/>
      <c r="F806" s="125"/>
      <c r="G806" s="125"/>
      <c r="I806" s="126"/>
      <c r="J806" s="127"/>
      <c r="K806" s="127"/>
    </row>
    <row r="807">
      <c r="A807" s="121"/>
      <c r="B807" s="122"/>
      <c r="D807" s="123"/>
      <c r="E807" s="127"/>
      <c r="F807" s="125"/>
      <c r="G807" s="125"/>
      <c r="I807" s="126"/>
      <c r="J807" s="127"/>
      <c r="K807" s="127"/>
    </row>
    <row r="808">
      <c r="A808" s="121"/>
      <c r="B808" s="122"/>
      <c r="D808" s="123"/>
      <c r="E808" s="127"/>
      <c r="F808" s="125"/>
      <c r="G808" s="125"/>
      <c r="I808" s="126"/>
      <c r="J808" s="127"/>
      <c r="K808" s="127"/>
    </row>
    <row r="809">
      <c r="A809" s="121"/>
      <c r="B809" s="122"/>
      <c r="D809" s="123"/>
      <c r="E809" s="127"/>
      <c r="F809" s="125"/>
      <c r="G809" s="125"/>
      <c r="I809" s="126"/>
      <c r="J809" s="127"/>
      <c r="K809" s="127"/>
    </row>
    <row r="810">
      <c r="A810" s="121"/>
      <c r="B810" s="122"/>
      <c r="D810" s="123"/>
      <c r="E810" s="127"/>
      <c r="F810" s="125"/>
      <c r="G810" s="125"/>
      <c r="I810" s="126"/>
      <c r="J810" s="127"/>
      <c r="K810" s="127"/>
    </row>
    <row r="811">
      <c r="A811" s="121"/>
      <c r="B811" s="122"/>
      <c r="D811" s="123"/>
      <c r="E811" s="127"/>
      <c r="F811" s="125"/>
      <c r="G811" s="125"/>
      <c r="I811" s="126"/>
      <c r="J811" s="127"/>
      <c r="K811" s="127"/>
    </row>
    <row r="812">
      <c r="A812" s="121"/>
      <c r="B812" s="122"/>
      <c r="D812" s="123"/>
      <c r="E812" s="127"/>
      <c r="F812" s="125"/>
      <c r="G812" s="125"/>
      <c r="I812" s="126"/>
      <c r="J812" s="127"/>
      <c r="K812" s="127"/>
    </row>
    <row r="813">
      <c r="A813" s="121"/>
      <c r="B813" s="122"/>
      <c r="D813" s="123"/>
      <c r="E813" s="127"/>
      <c r="F813" s="125"/>
      <c r="G813" s="125"/>
      <c r="I813" s="126"/>
      <c r="J813" s="127"/>
      <c r="K813" s="127"/>
    </row>
    <row r="814">
      <c r="A814" s="121"/>
      <c r="B814" s="122"/>
      <c r="D814" s="123"/>
      <c r="E814" s="127"/>
      <c r="F814" s="125"/>
      <c r="G814" s="125"/>
      <c r="I814" s="126"/>
      <c r="J814" s="127"/>
      <c r="K814" s="127"/>
    </row>
    <row r="815">
      <c r="A815" s="121"/>
      <c r="B815" s="122"/>
      <c r="D815" s="123"/>
      <c r="E815" s="127"/>
      <c r="F815" s="125"/>
      <c r="G815" s="125"/>
      <c r="I815" s="126"/>
      <c r="J815" s="127"/>
      <c r="K815" s="127"/>
    </row>
    <row r="816">
      <c r="A816" s="121"/>
      <c r="B816" s="122"/>
      <c r="D816" s="123"/>
      <c r="E816" s="127"/>
      <c r="F816" s="125"/>
      <c r="G816" s="125"/>
      <c r="I816" s="126"/>
      <c r="J816" s="127"/>
      <c r="K816" s="127"/>
    </row>
    <row r="817">
      <c r="A817" s="121"/>
      <c r="B817" s="122"/>
      <c r="D817" s="123"/>
      <c r="E817" s="127"/>
      <c r="F817" s="125"/>
      <c r="G817" s="125"/>
      <c r="I817" s="126"/>
      <c r="J817" s="127"/>
      <c r="K817" s="127"/>
    </row>
    <row r="818">
      <c r="A818" s="121"/>
      <c r="B818" s="122"/>
      <c r="D818" s="123"/>
      <c r="E818" s="127"/>
      <c r="F818" s="125"/>
      <c r="G818" s="125"/>
      <c r="I818" s="126"/>
      <c r="J818" s="127"/>
      <c r="K818" s="127"/>
    </row>
    <row r="819">
      <c r="A819" s="121"/>
      <c r="B819" s="122"/>
      <c r="D819" s="123"/>
      <c r="E819" s="127"/>
      <c r="F819" s="125"/>
      <c r="G819" s="125"/>
      <c r="I819" s="126"/>
      <c r="J819" s="127"/>
      <c r="K819" s="127"/>
    </row>
    <row r="820">
      <c r="A820" s="121"/>
      <c r="B820" s="122"/>
      <c r="D820" s="123"/>
      <c r="E820" s="127"/>
      <c r="F820" s="125"/>
      <c r="G820" s="125"/>
      <c r="I820" s="126"/>
      <c r="J820" s="127"/>
      <c r="K820" s="127"/>
    </row>
    <row r="821">
      <c r="A821" s="121"/>
      <c r="B821" s="122"/>
      <c r="D821" s="123"/>
      <c r="E821" s="127"/>
      <c r="F821" s="125"/>
      <c r="G821" s="125"/>
      <c r="I821" s="126"/>
      <c r="J821" s="127"/>
      <c r="K821" s="127"/>
    </row>
    <row r="822">
      <c r="A822" s="121"/>
      <c r="B822" s="122"/>
      <c r="D822" s="123"/>
      <c r="E822" s="127"/>
      <c r="F822" s="125"/>
      <c r="G822" s="125"/>
      <c r="I822" s="126"/>
      <c r="J822" s="127"/>
      <c r="K822" s="127"/>
    </row>
    <row r="823">
      <c r="A823" s="121"/>
      <c r="B823" s="122"/>
      <c r="D823" s="123"/>
      <c r="E823" s="127"/>
      <c r="F823" s="125"/>
      <c r="G823" s="125"/>
      <c r="I823" s="126"/>
      <c r="J823" s="127"/>
      <c r="K823" s="127"/>
    </row>
    <row r="824">
      <c r="A824" s="121"/>
      <c r="B824" s="122"/>
      <c r="D824" s="123"/>
      <c r="E824" s="127"/>
      <c r="F824" s="125"/>
      <c r="G824" s="125"/>
      <c r="I824" s="126"/>
      <c r="J824" s="127"/>
      <c r="K824" s="127"/>
    </row>
    <row r="825">
      <c r="A825" s="121"/>
      <c r="B825" s="122"/>
      <c r="D825" s="123"/>
      <c r="E825" s="127"/>
      <c r="F825" s="125"/>
      <c r="G825" s="125"/>
      <c r="I825" s="126"/>
      <c r="J825" s="127"/>
      <c r="K825" s="127"/>
    </row>
    <row r="826">
      <c r="A826" s="121"/>
      <c r="B826" s="122"/>
      <c r="D826" s="123"/>
      <c r="E826" s="127"/>
      <c r="F826" s="125"/>
      <c r="G826" s="125"/>
      <c r="I826" s="126"/>
      <c r="J826" s="127"/>
      <c r="K826" s="127"/>
    </row>
    <row r="827">
      <c r="A827" s="121"/>
      <c r="B827" s="122"/>
      <c r="D827" s="123"/>
      <c r="E827" s="127"/>
      <c r="F827" s="125"/>
      <c r="G827" s="125"/>
      <c r="I827" s="126"/>
      <c r="J827" s="127"/>
      <c r="K827" s="127"/>
    </row>
    <row r="828">
      <c r="A828" s="121"/>
      <c r="B828" s="122"/>
      <c r="D828" s="123"/>
      <c r="E828" s="127"/>
      <c r="F828" s="125"/>
      <c r="G828" s="125"/>
      <c r="I828" s="126"/>
      <c r="J828" s="127"/>
      <c r="K828" s="127"/>
    </row>
    <row r="829">
      <c r="A829" s="121"/>
      <c r="B829" s="122"/>
      <c r="D829" s="123"/>
      <c r="E829" s="127"/>
      <c r="F829" s="125"/>
      <c r="G829" s="125"/>
      <c r="I829" s="126"/>
      <c r="J829" s="127"/>
      <c r="K829" s="127"/>
    </row>
    <row r="830">
      <c r="A830" s="121"/>
      <c r="B830" s="122"/>
      <c r="D830" s="123"/>
      <c r="E830" s="127"/>
      <c r="F830" s="125"/>
      <c r="G830" s="125"/>
      <c r="I830" s="126"/>
      <c r="J830" s="127"/>
      <c r="K830" s="127"/>
    </row>
    <row r="831">
      <c r="A831" s="121"/>
      <c r="B831" s="122"/>
      <c r="D831" s="123"/>
      <c r="E831" s="127"/>
      <c r="F831" s="125"/>
      <c r="G831" s="125"/>
      <c r="I831" s="126"/>
      <c r="J831" s="127"/>
      <c r="K831" s="127"/>
    </row>
    <row r="832">
      <c r="A832" s="121"/>
      <c r="B832" s="122"/>
      <c r="D832" s="123"/>
      <c r="E832" s="127"/>
      <c r="F832" s="125"/>
      <c r="G832" s="125"/>
      <c r="I832" s="126"/>
      <c r="J832" s="127"/>
      <c r="K832" s="127"/>
    </row>
    <row r="833">
      <c r="A833" s="121"/>
      <c r="B833" s="122"/>
      <c r="D833" s="123"/>
      <c r="E833" s="127"/>
      <c r="F833" s="125"/>
      <c r="G833" s="125"/>
      <c r="I833" s="126"/>
      <c r="J833" s="127"/>
      <c r="K833" s="127"/>
    </row>
    <row r="834">
      <c r="A834" s="121"/>
      <c r="B834" s="122"/>
      <c r="D834" s="123"/>
      <c r="E834" s="127"/>
      <c r="F834" s="125"/>
      <c r="G834" s="125"/>
      <c r="I834" s="126"/>
      <c r="J834" s="127"/>
      <c r="K834" s="127"/>
    </row>
    <row r="835">
      <c r="A835" s="121"/>
      <c r="B835" s="122"/>
      <c r="D835" s="123"/>
      <c r="E835" s="127"/>
      <c r="F835" s="125"/>
      <c r="G835" s="125"/>
      <c r="I835" s="126"/>
      <c r="J835" s="127"/>
      <c r="K835" s="127"/>
    </row>
    <row r="836">
      <c r="A836" s="121"/>
      <c r="B836" s="122"/>
      <c r="D836" s="123"/>
      <c r="E836" s="127"/>
      <c r="F836" s="125"/>
      <c r="G836" s="125"/>
      <c r="I836" s="126"/>
      <c r="J836" s="127"/>
      <c r="K836" s="127"/>
    </row>
    <row r="837">
      <c r="A837" s="121"/>
      <c r="B837" s="122"/>
      <c r="D837" s="123"/>
      <c r="E837" s="127"/>
      <c r="F837" s="125"/>
      <c r="G837" s="125"/>
      <c r="I837" s="126"/>
      <c r="J837" s="127"/>
      <c r="K837" s="127"/>
    </row>
    <row r="838">
      <c r="A838" s="121"/>
      <c r="B838" s="122"/>
      <c r="D838" s="123"/>
      <c r="E838" s="127"/>
      <c r="F838" s="125"/>
      <c r="G838" s="125"/>
      <c r="I838" s="126"/>
      <c r="J838" s="127"/>
      <c r="K838" s="127"/>
    </row>
    <row r="839">
      <c r="A839" s="121"/>
      <c r="B839" s="122"/>
      <c r="D839" s="123"/>
      <c r="E839" s="127"/>
      <c r="F839" s="125"/>
      <c r="G839" s="125"/>
      <c r="I839" s="126"/>
      <c r="J839" s="127"/>
      <c r="K839" s="127"/>
    </row>
    <row r="840">
      <c r="A840" s="121"/>
      <c r="B840" s="122"/>
      <c r="D840" s="123"/>
      <c r="E840" s="127"/>
      <c r="F840" s="125"/>
      <c r="G840" s="125"/>
      <c r="I840" s="126"/>
      <c r="J840" s="127"/>
      <c r="K840" s="127"/>
    </row>
    <row r="841">
      <c r="A841" s="121"/>
      <c r="B841" s="122"/>
      <c r="D841" s="123"/>
      <c r="E841" s="127"/>
      <c r="F841" s="125"/>
      <c r="G841" s="125"/>
      <c r="I841" s="126"/>
      <c r="J841" s="127"/>
      <c r="K841" s="127"/>
    </row>
    <row r="842">
      <c r="A842" s="121"/>
      <c r="B842" s="122"/>
      <c r="D842" s="123"/>
      <c r="E842" s="127"/>
      <c r="F842" s="125"/>
      <c r="G842" s="125"/>
      <c r="I842" s="126"/>
      <c r="J842" s="127"/>
      <c r="K842" s="127"/>
    </row>
    <row r="843">
      <c r="A843" s="121"/>
      <c r="B843" s="122"/>
      <c r="D843" s="123"/>
      <c r="E843" s="127"/>
      <c r="F843" s="125"/>
      <c r="G843" s="125"/>
      <c r="I843" s="126"/>
      <c r="J843" s="127"/>
      <c r="K843" s="127"/>
    </row>
    <row r="844">
      <c r="A844" s="121"/>
      <c r="B844" s="122"/>
      <c r="D844" s="123"/>
      <c r="E844" s="127"/>
      <c r="F844" s="125"/>
      <c r="G844" s="125"/>
      <c r="I844" s="126"/>
      <c r="J844" s="127"/>
      <c r="K844" s="127"/>
    </row>
    <row r="845">
      <c r="A845" s="121"/>
      <c r="B845" s="122"/>
      <c r="D845" s="123"/>
      <c r="E845" s="127"/>
      <c r="F845" s="125"/>
      <c r="G845" s="125"/>
      <c r="I845" s="126"/>
      <c r="J845" s="127"/>
      <c r="K845" s="127"/>
    </row>
    <row r="846">
      <c r="A846" s="121"/>
      <c r="B846" s="122"/>
      <c r="D846" s="123"/>
      <c r="E846" s="127"/>
      <c r="F846" s="125"/>
      <c r="G846" s="125"/>
      <c r="I846" s="126"/>
      <c r="J846" s="127"/>
      <c r="K846" s="127"/>
    </row>
    <row r="847">
      <c r="A847" s="121"/>
      <c r="B847" s="122"/>
      <c r="D847" s="123"/>
      <c r="E847" s="127"/>
      <c r="F847" s="125"/>
      <c r="G847" s="125"/>
      <c r="I847" s="126"/>
      <c r="J847" s="127"/>
      <c r="K847" s="127"/>
    </row>
    <row r="848">
      <c r="A848" s="121"/>
      <c r="B848" s="122"/>
      <c r="D848" s="123"/>
      <c r="E848" s="127"/>
      <c r="F848" s="125"/>
      <c r="G848" s="125"/>
      <c r="I848" s="126"/>
      <c r="J848" s="127"/>
      <c r="K848" s="127"/>
    </row>
    <row r="849">
      <c r="A849" s="121"/>
      <c r="B849" s="122"/>
      <c r="D849" s="123"/>
      <c r="E849" s="127"/>
      <c r="F849" s="125"/>
      <c r="G849" s="125"/>
      <c r="I849" s="126"/>
      <c r="J849" s="127"/>
      <c r="K849" s="127"/>
    </row>
    <row r="850">
      <c r="A850" s="121"/>
      <c r="B850" s="122"/>
      <c r="D850" s="123"/>
      <c r="E850" s="127"/>
      <c r="F850" s="125"/>
      <c r="G850" s="125"/>
      <c r="I850" s="126"/>
      <c r="J850" s="127"/>
      <c r="K850" s="127"/>
    </row>
    <row r="851">
      <c r="A851" s="121"/>
      <c r="B851" s="122"/>
      <c r="D851" s="123"/>
      <c r="E851" s="127"/>
      <c r="F851" s="125"/>
      <c r="G851" s="125"/>
      <c r="I851" s="126"/>
      <c r="J851" s="127"/>
      <c r="K851" s="127"/>
    </row>
    <row r="852">
      <c r="A852" s="121"/>
      <c r="B852" s="122"/>
      <c r="D852" s="123"/>
      <c r="E852" s="127"/>
      <c r="F852" s="125"/>
      <c r="G852" s="125"/>
      <c r="I852" s="126"/>
      <c r="J852" s="127"/>
      <c r="K852" s="127"/>
    </row>
    <row r="853">
      <c r="A853" s="121"/>
      <c r="B853" s="122"/>
      <c r="D853" s="123"/>
      <c r="E853" s="127"/>
      <c r="F853" s="125"/>
      <c r="G853" s="125"/>
      <c r="I853" s="126"/>
      <c r="J853" s="127"/>
      <c r="K853" s="127"/>
    </row>
    <row r="854">
      <c r="A854" s="121"/>
      <c r="B854" s="122"/>
      <c r="D854" s="123"/>
      <c r="E854" s="127"/>
      <c r="F854" s="125"/>
      <c r="G854" s="125"/>
      <c r="I854" s="126"/>
      <c r="J854" s="127"/>
      <c r="K854" s="127"/>
    </row>
    <row r="855">
      <c r="A855" s="121"/>
      <c r="B855" s="122"/>
      <c r="D855" s="123"/>
      <c r="E855" s="127"/>
      <c r="F855" s="125"/>
      <c r="G855" s="125"/>
      <c r="I855" s="126"/>
      <c r="J855" s="127"/>
      <c r="K855" s="127"/>
    </row>
    <row r="856">
      <c r="A856" s="121"/>
      <c r="B856" s="122"/>
      <c r="D856" s="123"/>
      <c r="E856" s="127"/>
      <c r="F856" s="125"/>
      <c r="G856" s="125"/>
      <c r="I856" s="126"/>
      <c r="J856" s="127"/>
      <c r="K856" s="127"/>
    </row>
    <row r="857">
      <c r="A857" s="121"/>
      <c r="B857" s="122"/>
      <c r="D857" s="123"/>
      <c r="E857" s="127"/>
      <c r="F857" s="125"/>
      <c r="G857" s="125"/>
      <c r="I857" s="126"/>
      <c r="J857" s="127"/>
      <c r="K857" s="127"/>
    </row>
    <row r="858">
      <c r="A858" s="121"/>
      <c r="B858" s="122"/>
      <c r="D858" s="123"/>
      <c r="E858" s="127"/>
      <c r="F858" s="125"/>
      <c r="G858" s="125"/>
      <c r="I858" s="126"/>
      <c r="J858" s="127"/>
      <c r="K858" s="127"/>
    </row>
    <row r="859">
      <c r="A859" s="121"/>
      <c r="B859" s="122"/>
      <c r="D859" s="123"/>
      <c r="E859" s="127"/>
      <c r="F859" s="125"/>
      <c r="G859" s="125"/>
      <c r="I859" s="126"/>
      <c r="J859" s="127"/>
      <c r="K859" s="127"/>
    </row>
    <row r="860">
      <c r="A860" s="121"/>
      <c r="B860" s="122"/>
      <c r="D860" s="123"/>
      <c r="E860" s="127"/>
      <c r="F860" s="125"/>
      <c r="G860" s="125"/>
      <c r="I860" s="126"/>
      <c r="J860" s="127"/>
      <c r="K860" s="127"/>
    </row>
    <row r="861">
      <c r="A861" s="121"/>
      <c r="B861" s="122"/>
      <c r="D861" s="123"/>
      <c r="E861" s="127"/>
      <c r="F861" s="125"/>
      <c r="G861" s="125"/>
      <c r="I861" s="126"/>
      <c r="J861" s="127"/>
      <c r="K861" s="127"/>
    </row>
    <row r="862">
      <c r="A862" s="121"/>
      <c r="B862" s="122"/>
      <c r="D862" s="123"/>
      <c r="E862" s="127"/>
      <c r="F862" s="125"/>
      <c r="G862" s="125"/>
      <c r="I862" s="126"/>
      <c r="J862" s="127"/>
      <c r="K862" s="127"/>
    </row>
    <row r="863">
      <c r="A863" s="121"/>
      <c r="B863" s="122"/>
      <c r="D863" s="123"/>
      <c r="E863" s="127"/>
      <c r="F863" s="125"/>
      <c r="G863" s="125"/>
      <c r="I863" s="126"/>
      <c r="J863" s="127"/>
      <c r="K863" s="127"/>
    </row>
    <row r="864">
      <c r="A864" s="121"/>
      <c r="B864" s="122"/>
      <c r="D864" s="123"/>
      <c r="E864" s="127"/>
      <c r="F864" s="125"/>
      <c r="G864" s="125"/>
      <c r="I864" s="126"/>
      <c r="J864" s="127"/>
      <c r="K864" s="127"/>
    </row>
    <row r="865">
      <c r="A865" s="121"/>
      <c r="B865" s="122"/>
      <c r="D865" s="123"/>
      <c r="E865" s="127"/>
      <c r="F865" s="125"/>
      <c r="G865" s="125"/>
      <c r="I865" s="126"/>
      <c r="J865" s="127"/>
      <c r="K865" s="127"/>
    </row>
    <row r="866">
      <c r="A866" s="121"/>
      <c r="B866" s="122"/>
      <c r="D866" s="123"/>
      <c r="E866" s="127"/>
      <c r="F866" s="125"/>
      <c r="G866" s="125"/>
      <c r="I866" s="126"/>
      <c r="J866" s="127"/>
      <c r="K866" s="127"/>
    </row>
    <row r="867">
      <c r="A867" s="121"/>
      <c r="B867" s="122"/>
      <c r="D867" s="123"/>
      <c r="E867" s="127"/>
      <c r="F867" s="125"/>
      <c r="G867" s="125"/>
      <c r="I867" s="126"/>
      <c r="J867" s="127"/>
      <c r="K867" s="127"/>
    </row>
    <row r="868">
      <c r="A868" s="121"/>
      <c r="B868" s="122"/>
      <c r="D868" s="123"/>
      <c r="E868" s="127"/>
      <c r="F868" s="125"/>
      <c r="G868" s="125"/>
      <c r="I868" s="126"/>
      <c r="J868" s="127"/>
      <c r="K868" s="127"/>
    </row>
    <row r="869">
      <c r="A869" s="121"/>
      <c r="B869" s="122"/>
      <c r="D869" s="123"/>
      <c r="E869" s="127"/>
      <c r="F869" s="125"/>
      <c r="G869" s="125"/>
      <c r="I869" s="126"/>
      <c r="J869" s="127"/>
      <c r="K869" s="127"/>
    </row>
    <row r="870">
      <c r="A870" s="121"/>
      <c r="B870" s="122"/>
      <c r="D870" s="123"/>
      <c r="E870" s="127"/>
      <c r="F870" s="125"/>
      <c r="G870" s="125"/>
      <c r="I870" s="126"/>
      <c r="J870" s="127"/>
      <c r="K870" s="127"/>
    </row>
    <row r="871">
      <c r="A871" s="121"/>
      <c r="B871" s="122"/>
      <c r="D871" s="123"/>
      <c r="E871" s="127"/>
      <c r="F871" s="125"/>
      <c r="G871" s="125"/>
      <c r="I871" s="126"/>
      <c r="J871" s="127"/>
      <c r="K871" s="127"/>
    </row>
    <row r="872">
      <c r="A872" s="121"/>
      <c r="B872" s="122"/>
      <c r="D872" s="123"/>
      <c r="E872" s="127"/>
      <c r="F872" s="125"/>
      <c r="G872" s="125"/>
      <c r="I872" s="126"/>
      <c r="J872" s="127"/>
      <c r="K872" s="127"/>
    </row>
    <row r="873">
      <c r="A873" s="121"/>
      <c r="B873" s="122"/>
      <c r="D873" s="123"/>
      <c r="E873" s="127"/>
      <c r="F873" s="125"/>
      <c r="G873" s="125"/>
      <c r="I873" s="126"/>
      <c r="J873" s="127"/>
      <c r="K873" s="127"/>
    </row>
    <row r="874">
      <c r="A874" s="121"/>
      <c r="B874" s="122"/>
      <c r="D874" s="123"/>
      <c r="E874" s="127"/>
      <c r="F874" s="125"/>
      <c r="G874" s="125"/>
      <c r="I874" s="126"/>
      <c r="J874" s="127"/>
      <c r="K874" s="127"/>
    </row>
    <row r="875">
      <c r="A875" s="121"/>
      <c r="B875" s="122"/>
      <c r="D875" s="123"/>
      <c r="E875" s="127"/>
      <c r="F875" s="125"/>
      <c r="G875" s="125"/>
      <c r="I875" s="126"/>
      <c r="J875" s="127"/>
      <c r="K875" s="127"/>
    </row>
    <row r="876">
      <c r="A876" s="121"/>
      <c r="B876" s="122"/>
      <c r="D876" s="123"/>
      <c r="E876" s="127"/>
      <c r="F876" s="125"/>
      <c r="G876" s="125"/>
      <c r="I876" s="126"/>
      <c r="J876" s="127"/>
      <c r="K876" s="127"/>
    </row>
    <row r="877">
      <c r="A877" s="121"/>
      <c r="B877" s="122"/>
      <c r="D877" s="123"/>
      <c r="E877" s="127"/>
      <c r="F877" s="125"/>
      <c r="G877" s="125"/>
      <c r="I877" s="126"/>
      <c r="J877" s="127"/>
      <c r="K877" s="127"/>
    </row>
    <row r="878">
      <c r="A878" s="121"/>
      <c r="B878" s="122"/>
      <c r="D878" s="123"/>
      <c r="E878" s="127"/>
      <c r="F878" s="125"/>
      <c r="G878" s="125"/>
      <c r="I878" s="126"/>
      <c r="J878" s="127"/>
      <c r="K878" s="127"/>
    </row>
    <row r="879">
      <c r="A879" s="121"/>
      <c r="B879" s="122"/>
      <c r="D879" s="123"/>
      <c r="E879" s="127"/>
      <c r="F879" s="125"/>
      <c r="G879" s="125"/>
      <c r="I879" s="126"/>
      <c r="J879" s="127"/>
      <c r="K879" s="127"/>
    </row>
    <row r="880">
      <c r="A880" s="121"/>
      <c r="B880" s="122"/>
      <c r="D880" s="123"/>
      <c r="E880" s="127"/>
      <c r="F880" s="125"/>
      <c r="G880" s="125"/>
      <c r="I880" s="126"/>
      <c r="J880" s="127"/>
      <c r="K880" s="127"/>
    </row>
    <row r="881">
      <c r="A881" s="121"/>
      <c r="B881" s="122"/>
      <c r="D881" s="123"/>
      <c r="E881" s="127"/>
      <c r="F881" s="125"/>
      <c r="G881" s="125"/>
      <c r="I881" s="126"/>
      <c r="J881" s="127"/>
      <c r="K881" s="127"/>
    </row>
    <row r="882">
      <c r="A882" s="121"/>
      <c r="B882" s="122"/>
      <c r="D882" s="123"/>
      <c r="E882" s="127"/>
      <c r="F882" s="125"/>
      <c r="G882" s="125"/>
      <c r="I882" s="126"/>
      <c r="J882" s="127"/>
      <c r="K882" s="127"/>
    </row>
    <row r="883">
      <c r="A883" s="121"/>
      <c r="B883" s="122"/>
      <c r="D883" s="123"/>
      <c r="E883" s="127"/>
      <c r="F883" s="125"/>
      <c r="G883" s="125"/>
      <c r="I883" s="126"/>
      <c r="J883" s="127"/>
      <c r="K883" s="127"/>
    </row>
    <row r="884">
      <c r="A884" s="121"/>
      <c r="B884" s="122"/>
      <c r="D884" s="123"/>
      <c r="E884" s="127"/>
      <c r="F884" s="125"/>
      <c r="G884" s="125"/>
      <c r="I884" s="126"/>
      <c r="J884" s="127"/>
      <c r="K884" s="127"/>
    </row>
    <row r="885">
      <c r="A885" s="121"/>
      <c r="B885" s="122"/>
      <c r="D885" s="123"/>
      <c r="E885" s="127"/>
      <c r="F885" s="125"/>
      <c r="G885" s="125"/>
      <c r="I885" s="126"/>
      <c r="J885" s="127"/>
      <c r="K885" s="127"/>
    </row>
    <row r="886">
      <c r="A886" s="121"/>
      <c r="B886" s="122"/>
      <c r="D886" s="123"/>
      <c r="E886" s="127"/>
      <c r="F886" s="125"/>
      <c r="G886" s="125"/>
      <c r="I886" s="126"/>
      <c r="J886" s="127"/>
      <c r="K886" s="127"/>
    </row>
    <row r="887">
      <c r="A887" s="121"/>
      <c r="B887" s="122"/>
      <c r="D887" s="123"/>
      <c r="E887" s="127"/>
      <c r="F887" s="125"/>
      <c r="G887" s="125"/>
      <c r="I887" s="126"/>
      <c r="J887" s="127"/>
      <c r="K887" s="127"/>
    </row>
    <row r="888">
      <c r="A888" s="121"/>
      <c r="B888" s="122"/>
      <c r="D888" s="123"/>
      <c r="E888" s="127"/>
      <c r="F888" s="125"/>
      <c r="G888" s="125"/>
      <c r="I888" s="126"/>
      <c r="J888" s="127"/>
      <c r="K888" s="127"/>
    </row>
    <row r="889">
      <c r="A889" s="121"/>
      <c r="B889" s="122"/>
      <c r="D889" s="123"/>
      <c r="E889" s="127"/>
      <c r="F889" s="125"/>
      <c r="G889" s="125"/>
      <c r="I889" s="126"/>
      <c r="J889" s="127"/>
      <c r="K889" s="127"/>
    </row>
    <row r="890">
      <c r="A890" s="121"/>
      <c r="B890" s="122"/>
      <c r="D890" s="123"/>
      <c r="E890" s="127"/>
      <c r="F890" s="125"/>
      <c r="G890" s="125"/>
      <c r="I890" s="126"/>
      <c r="J890" s="127"/>
      <c r="K890" s="127"/>
    </row>
    <row r="891">
      <c r="A891" s="121"/>
      <c r="B891" s="122"/>
      <c r="D891" s="123"/>
      <c r="E891" s="127"/>
      <c r="F891" s="125"/>
      <c r="G891" s="125"/>
      <c r="I891" s="126"/>
      <c r="J891" s="127"/>
      <c r="K891" s="127"/>
    </row>
    <row r="892">
      <c r="A892" s="121"/>
      <c r="B892" s="122"/>
      <c r="D892" s="123"/>
      <c r="E892" s="127"/>
      <c r="F892" s="125"/>
      <c r="G892" s="125"/>
      <c r="I892" s="126"/>
      <c r="J892" s="127"/>
      <c r="K892" s="127"/>
    </row>
    <row r="893">
      <c r="A893" s="121"/>
      <c r="B893" s="122"/>
      <c r="D893" s="123"/>
      <c r="E893" s="127"/>
      <c r="F893" s="125"/>
      <c r="G893" s="125"/>
      <c r="I893" s="126"/>
      <c r="J893" s="127"/>
      <c r="K893" s="127"/>
    </row>
    <row r="894">
      <c r="A894" s="121"/>
      <c r="B894" s="122"/>
      <c r="D894" s="123"/>
      <c r="E894" s="127"/>
      <c r="F894" s="125"/>
      <c r="G894" s="125"/>
      <c r="I894" s="126"/>
      <c r="J894" s="127"/>
      <c r="K894" s="127"/>
    </row>
    <row r="895">
      <c r="A895" s="121"/>
      <c r="B895" s="122"/>
      <c r="D895" s="123"/>
      <c r="E895" s="127"/>
      <c r="F895" s="125"/>
      <c r="G895" s="125"/>
      <c r="I895" s="126"/>
      <c r="J895" s="127"/>
      <c r="K895" s="127"/>
    </row>
    <row r="896">
      <c r="A896" s="121"/>
      <c r="B896" s="122"/>
      <c r="D896" s="123"/>
      <c r="E896" s="127"/>
      <c r="F896" s="125"/>
      <c r="G896" s="125"/>
      <c r="I896" s="126"/>
      <c r="J896" s="127"/>
      <c r="K896" s="127"/>
    </row>
    <row r="897">
      <c r="A897" s="121"/>
      <c r="B897" s="122"/>
      <c r="D897" s="123"/>
      <c r="E897" s="127"/>
      <c r="F897" s="125"/>
      <c r="G897" s="125"/>
      <c r="I897" s="126"/>
      <c r="J897" s="127"/>
      <c r="K897" s="127"/>
    </row>
    <row r="898">
      <c r="A898" s="121"/>
      <c r="B898" s="122"/>
      <c r="D898" s="123"/>
      <c r="E898" s="127"/>
      <c r="F898" s="125"/>
      <c r="G898" s="125"/>
      <c r="I898" s="126"/>
      <c r="J898" s="127"/>
      <c r="K898" s="127"/>
    </row>
    <row r="899">
      <c r="A899" s="121"/>
      <c r="B899" s="122"/>
      <c r="D899" s="123"/>
      <c r="E899" s="127"/>
      <c r="F899" s="125"/>
      <c r="G899" s="125"/>
      <c r="I899" s="126"/>
      <c r="J899" s="127"/>
      <c r="K899" s="127"/>
    </row>
    <row r="900">
      <c r="A900" s="121"/>
      <c r="B900" s="122"/>
      <c r="D900" s="123"/>
      <c r="E900" s="127"/>
      <c r="F900" s="125"/>
      <c r="G900" s="125"/>
      <c r="I900" s="126"/>
      <c r="J900" s="127"/>
      <c r="K900" s="127"/>
    </row>
    <row r="901">
      <c r="A901" s="121"/>
      <c r="B901" s="122"/>
      <c r="D901" s="123"/>
      <c r="E901" s="127"/>
      <c r="F901" s="125"/>
      <c r="G901" s="125"/>
      <c r="I901" s="126"/>
      <c r="J901" s="127"/>
      <c r="K901" s="127"/>
    </row>
    <row r="902">
      <c r="A902" s="121"/>
      <c r="B902" s="122"/>
      <c r="D902" s="123"/>
      <c r="E902" s="127"/>
      <c r="F902" s="125"/>
      <c r="G902" s="125"/>
      <c r="I902" s="126"/>
      <c r="J902" s="127"/>
      <c r="K902" s="127"/>
    </row>
    <row r="903">
      <c r="A903" s="121"/>
      <c r="B903" s="122"/>
      <c r="D903" s="123"/>
      <c r="E903" s="127"/>
      <c r="F903" s="125"/>
      <c r="G903" s="125"/>
      <c r="I903" s="126"/>
      <c r="J903" s="127"/>
      <c r="K903" s="127"/>
    </row>
    <row r="904">
      <c r="A904" s="121"/>
      <c r="B904" s="122"/>
      <c r="D904" s="123"/>
      <c r="E904" s="127"/>
      <c r="F904" s="125"/>
      <c r="G904" s="125"/>
      <c r="I904" s="126"/>
      <c r="J904" s="127"/>
      <c r="K904" s="127"/>
    </row>
    <row r="905">
      <c r="A905" s="121"/>
      <c r="B905" s="122"/>
      <c r="D905" s="123"/>
      <c r="E905" s="127"/>
      <c r="F905" s="125"/>
      <c r="G905" s="125"/>
      <c r="I905" s="126"/>
      <c r="J905" s="127"/>
      <c r="K905" s="127"/>
    </row>
    <row r="906">
      <c r="A906" s="121"/>
      <c r="B906" s="122"/>
      <c r="D906" s="123"/>
      <c r="E906" s="127"/>
      <c r="F906" s="125"/>
      <c r="G906" s="125"/>
      <c r="I906" s="126"/>
      <c r="J906" s="127"/>
      <c r="K906" s="127"/>
    </row>
    <row r="907">
      <c r="A907" s="121"/>
      <c r="B907" s="122"/>
      <c r="D907" s="123"/>
      <c r="E907" s="127"/>
      <c r="F907" s="125"/>
      <c r="G907" s="125"/>
      <c r="I907" s="126"/>
      <c r="J907" s="127"/>
      <c r="K907" s="127"/>
    </row>
    <row r="908">
      <c r="A908" s="121"/>
      <c r="B908" s="122"/>
      <c r="D908" s="123"/>
      <c r="E908" s="127"/>
      <c r="F908" s="125"/>
      <c r="G908" s="125"/>
      <c r="I908" s="126"/>
      <c r="J908" s="127"/>
      <c r="K908" s="127"/>
    </row>
    <row r="909">
      <c r="A909" s="121"/>
      <c r="B909" s="122"/>
      <c r="D909" s="123"/>
      <c r="E909" s="127"/>
      <c r="F909" s="125"/>
      <c r="G909" s="125"/>
      <c r="I909" s="126"/>
      <c r="J909" s="127"/>
      <c r="K909" s="127"/>
    </row>
    <row r="910">
      <c r="A910" s="121"/>
      <c r="B910" s="122"/>
      <c r="D910" s="123"/>
      <c r="E910" s="127"/>
      <c r="F910" s="125"/>
      <c r="G910" s="125"/>
      <c r="I910" s="126"/>
      <c r="J910" s="127"/>
      <c r="K910" s="127"/>
    </row>
    <row r="911">
      <c r="A911" s="121"/>
      <c r="B911" s="122"/>
      <c r="D911" s="123"/>
      <c r="E911" s="127"/>
      <c r="F911" s="125"/>
      <c r="G911" s="125"/>
      <c r="I911" s="126"/>
      <c r="J911" s="127"/>
      <c r="K911" s="127"/>
    </row>
    <row r="912">
      <c r="A912" s="121"/>
      <c r="B912" s="122"/>
      <c r="D912" s="123"/>
      <c r="E912" s="127"/>
      <c r="F912" s="125"/>
      <c r="G912" s="125"/>
      <c r="I912" s="126"/>
      <c r="J912" s="127"/>
      <c r="K912" s="127"/>
    </row>
    <row r="913">
      <c r="A913" s="121"/>
      <c r="B913" s="122"/>
      <c r="D913" s="123"/>
      <c r="E913" s="127"/>
      <c r="F913" s="125"/>
      <c r="G913" s="125"/>
      <c r="I913" s="126"/>
      <c r="J913" s="127"/>
      <c r="K913" s="127"/>
    </row>
    <row r="914">
      <c r="A914" s="121"/>
      <c r="B914" s="122"/>
      <c r="D914" s="123"/>
      <c r="E914" s="127"/>
      <c r="F914" s="125"/>
      <c r="G914" s="125"/>
      <c r="I914" s="126"/>
      <c r="J914" s="127"/>
      <c r="K914" s="127"/>
    </row>
    <row r="915">
      <c r="A915" s="121"/>
      <c r="B915" s="122"/>
      <c r="D915" s="123"/>
      <c r="E915" s="127"/>
      <c r="F915" s="125"/>
      <c r="G915" s="125"/>
      <c r="I915" s="126"/>
      <c r="J915" s="127"/>
      <c r="K915" s="127"/>
    </row>
    <row r="916">
      <c r="A916" s="121"/>
      <c r="B916" s="122"/>
      <c r="D916" s="123"/>
      <c r="E916" s="127"/>
      <c r="F916" s="125"/>
      <c r="G916" s="125"/>
      <c r="I916" s="126"/>
      <c r="J916" s="127"/>
      <c r="K916" s="127"/>
    </row>
    <row r="917">
      <c r="A917" s="121"/>
      <c r="B917" s="122"/>
      <c r="D917" s="123"/>
      <c r="E917" s="127"/>
      <c r="F917" s="125"/>
      <c r="G917" s="125"/>
      <c r="I917" s="126"/>
      <c r="J917" s="127"/>
      <c r="K917" s="127"/>
    </row>
    <row r="918">
      <c r="A918" s="121"/>
      <c r="B918" s="122"/>
      <c r="D918" s="123"/>
      <c r="E918" s="127"/>
      <c r="F918" s="125"/>
      <c r="G918" s="125"/>
      <c r="I918" s="126"/>
      <c r="J918" s="127"/>
      <c r="K918" s="127"/>
    </row>
    <row r="919">
      <c r="A919" s="121"/>
      <c r="B919" s="122"/>
      <c r="D919" s="123"/>
      <c r="E919" s="127"/>
      <c r="F919" s="125"/>
      <c r="G919" s="125"/>
      <c r="I919" s="126"/>
      <c r="J919" s="127"/>
      <c r="K919" s="127"/>
    </row>
    <row r="920">
      <c r="A920" s="121"/>
      <c r="B920" s="122"/>
      <c r="D920" s="123"/>
      <c r="E920" s="127"/>
      <c r="F920" s="125"/>
      <c r="G920" s="125"/>
      <c r="I920" s="126"/>
      <c r="J920" s="127"/>
      <c r="K920" s="127"/>
    </row>
    <row r="921">
      <c r="A921" s="121"/>
      <c r="B921" s="122"/>
      <c r="D921" s="123"/>
      <c r="E921" s="127"/>
      <c r="F921" s="125"/>
      <c r="G921" s="125"/>
      <c r="I921" s="126"/>
      <c r="J921" s="127"/>
      <c r="K921" s="127"/>
    </row>
    <row r="922">
      <c r="A922" s="121"/>
      <c r="B922" s="122"/>
      <c r="D922" s="123"/>
      <c r="E922" s="127"/>
      <c r="F922" s="125"/>
      <c r="G922" s="125"/>
      <c r="I922" s="126"/>
      <c r="J922" s="127"/>
      <c r="K922" s="127"/>
    </row>
    <row r="923">
      <c r="A923" s="121"/>
      <c r="B923" s="122"/>
      <c r="D923" s="123"/>
      <c r="E923" s="127"/>
      <c r="F923" s="125"/>
      <c r="G923" s="125"/>
      <c r="I923" s="126"/>
      <c r="J923" s="127"/>
      <c r="K923" s="127"/>
    </row>
    <row r="924">
      <c r="A924" s="121"/>
      <c r="B924" s="122"/>
      <c r="D924" s="123"/>
      <c r="E924" s="127"/>
      <c r="F924" s="125"/>
      <c r="G924" s="125"/>
      <c r="I924" s="126"/>
      <c r="J924" s="127"/>
      <c r="K924" s="127"/>
    </row>
    <row r="925">
      <c r="A925" s="121"/>
      <c r="B925" s="122"/>
      <c r="D925" s="123"/>
      <c r="E925" s="127"/>
      <c r="F925" s="125"/>
      <c r="G925" s="125"/>
      <c r="I925" s="126"/>
      <c r="J925" s="127"/>
      <c r="K925" s="127"/>
    </row>
    <row r="926">
      <c r="A926" s="121"/>
      <c r="B926" s="122"/>
      <c r="D926" s="123"/>
      <c r="E926" s="127"/>
      <c r="F926" s="125"/>
      <c r="G926" s="125"/>
      <c r="I926" s="126"/>
      <c r="J926" s="127"/>
      <c r="K926" s="127"/>
    </row>
    <row r="927">
      <c r="A927" s="121"/>
      <c r="B927" s="122"/>
      <c r="D927" s="123"/>
      <c r="E927" s="127"/>
      <c r="F927" s="125"/>
      <c r="G927" s="125"/>
      <c r="I927" s="126"/>
      <c r="J927" s="127"/>
      <c r="K927" s="127"/>
    </row>
    <row r="928">
      <c r="A928" s="121"/>
      <c r="B928" s="122"/>
      <c r="D928" s="123"/>
      <c r="E928" s="127"/>
      <c r="F928" s="125"/>
      <c r="G928" s="125"/>
      <c r="I928" s="126"/>
      <c r="J928" s="127"/>
      <c r="K928" s="127"/>
    </row>
    <row r="929">
      <c r="A929" s="121"/>
      <c r="B929" s="122"/>
      <c r="D929" s="123"/>
      <c r="E929" s="127"/>
      <c r="F929" s="125"/>
      <c r="G929" s="125"/>
      <c r="I929" s="126"/>
      <c r="J929" s="127"/>
      <c r="K929" s="127"/>
    </row>
    <row r="930">
      <c r="A930" s="121"/>
      <c r="B930" s="122"/>
      <c r="D930" s="123"/>
      <c r="E930" s="127"/>
      <c r="F930" s="125"/>
      <c r="G930" s="125"/>
      <c r="I930" s="126"/>
      <c r="J930" s="127"/>
      <c r="K930" s="127"/>
    </row>
    <row r="931">
      <c r="A931" s="121"/>
      <c r="B931" s="122"/>
      <c r="D931" s="123"/>
      <c r="E931" s="127"/>
      <c r="F931" s="125"/>
      <c r="G931" s="125"/>
      <c r="I931" s="126"/>
      <c r="J931" s="127"/>
      <c r="K931" s="127"/>
    </row>
    <row r="932">
      <c r="A932" s="121"/>
      <c r="B932" s="122"/>
      <c r="D932" s="123"/>
      <c r="E932" s="127"/>
      <c r="F932" s="125"/>
      <c r="G932" s="125"/>
      <c r="I932" s="126"/>
      <c r="J932" s="127"/>
      <c r="K932" s="127"/>
    </row>
    <row r="933">
      <c r="A933" s="121"/>
      <c r="B933" s="122"/>
      <c r="D933" s="123"/>
      <c r="E933" s="127"/>
      <c r="F933" s="125"/>
      <c r="G933" s="125"/>
      <c r="I933" s="126"/>
      <c r="J933" s="127"/>
      <c r="K933" s="127"/>
    </row>
    <row r="934">
      <c r="A934" s="121"/>
      <c r="B934" s="122"/>
      <c r="D934" s="123"/>
      <c r="E934" s="127"/>
      <c r="F934" s="125"/>
      <c r="G934" s="125"/>
      <c r="I934" s="126"/>
      <c r="J934" s="127"/>
      <c r="K934" s="127"/>
    </row>
    <row r="935">
      <c r="A935" s="121"/>
      <c r="B935" s="122"/>
      <c r="D935" s="123"/>
      <c r="E935" s="127"/>
      <c r="F935" s="125"/>
      <c r="G935" s="125"/>
      <c r="I935" s="126"/>
      <c r="J935" s="127"/>
      <c r="K935" s="127"/>
    </row>
    <row r="936">
      <c r="A936" s="121"/>
      <c r="B936" s="122"/>
      <c r="D936" s="123"/>
      <c r="E936" s="127"/>
      <c r="F936" s="125"/>
      <c r="G936" s="125"/>
      <c r="I936" s="126"/>
      <c r="J936" s="127"/>
      <c r="K936" s="127"/>
    </row>
    <row r="937">
      <c r="A937" s="121"/>
      <c r="B937" s="122"/>
      <c r="D937" s="123"/>
      <c r="E937" s="127"/>
      <c r="F937" s="125"/>
      <c r="G937" s="125"/>
      <c r="I937" s="126"/>
      <c r="J937" s="127"/>
      <c r="K937" s="127"/>
    </row>
    <row r="938">
      <c r="A938" s="121"/>
      <c r="B938" s="122"/>
      <c r="D938" s="123"/>
      <c r="E938" s="127"/>
      <c r="F938" s="125"/>
      <c r="G938" s="125"/>
      <c r="I938" s="126"/>
      <c r="J938" s="127"/>
      <c r="K938" s="127"/>
    </row>
    <row r="939">
      <c r="A939" s="121"/>
      <c r="B939" s="122"/>
      <c r="D939" s="123"/>
      <c r="E939" s="127"/>
      <c r="F939" s="125"/>
      <c r="G939" s="125"/>
      <c r="I939" s="126"/>
      <c r="J939" s="127"/>
      <c r="K939" s="127"/>
    </row>
    <row r="940">
      <c r="A940" s="121"/>
      <c r="B940" s="122"/>
      <c r="D940" s="123"/>
      <c r="E940" s="127"/>
      <c r="F940" s="125"/>
      <c r="G940" s="125"/>
      <c r="I940" s="126"/>
      <c r="J940" s="127"/>
      <c r="K940" s="127"/>
    </row>
    <row r="941">
      <c r="A941" s="121"/>
      <c r="B941" s="122"/>
      <c r="D941" s="123"/>
      <c r="E941" s="127"/>
      <c r="F941" s="125"/>
      <c r="G941" s="125"/>
      <c r="I941" s="126"/>
      <c r="J941" s="127"/>
      <c r="K941" s="127"/>
    </row>
    <row r="942">
      <c r="A942" s="121"/>
      <c r="B942" s="122"/>
      <c r="D942" s="123"/>
      <c r="E942" s="127"/>
      <c r="F942" s="125"/>
      <c r="G942" s="125"/>
      <c r="I942" s="126"/>
      <c r="J942" s="127"/>
      <c r="K942" s="127"/>
    </row>
    <row r="943">
      <c r="A943" s="121"/>
      <c r="B943" s="122"/>
      <c r="D943" s="123"/>
      <c r="E943" s="127"/>
      <c r="F943" s="125"/>
      <c r="G943" s="125"/>
      <c r="I943" s="126"/>
      <c r="J943" s="127"/>
      <c r="K943" s="127"/>
    </row>
    <row r="944">
      <c r="A944" s="121"/>
      <c r="B944" s="122"/>
      <c r="D944" s="123"/>
      <c r="E944" s="127"/>
      <c r="F944" s="125"/>
      <c r="G944" s="125"/>
      <c r="I944" s="126"/>
      <c r="J944" s="127"/>
      <c r="K944" s="127"/>
    </row>
    <row r="945">
      <c r="A945" s="121"/>
      <c r="B945" s="122"/>
      <c r="D945" s="123"/>
      <c r="E945" s="127"/>
      <c r="F945" s="125"/>
      <c r="G945" s="125"/>
      <c r="I945" s="126"/>
      <c r="J945" s="127"/>
      <c r="K945" s="127"/>
    </row>
    <row r="946">
      <c r="A946" s="121"/>
      <c r="B946" s="122"/>
      <c r="D946" s="123"/>
      <c r="E946" s="127"/>
      <c r="F946" s="125"/>
      <c r="G946" s="125"/>
      <c r="I946" s="126"/>
      <c r="J946" s="127"/>
      <c r="K946" s="127"/>
    </row>
    <row r="947">
      <c r="A947" s="121"/>
      <c r="B947" s="122"/>
      <c r="D947" s="123"/>
      <c r="E947" s="127"/>
      <c r="F947" s="125"/>
      <c r="G947" s="125"/>
      <c r="I947" s="126"/>
      <c r="J947" s="127"/>
      <c r="K947" s="127"/>
    </row>
    <row r="948">
      <c r="A948" s="121"/>
      <c r="B948" s="122"/>
      <c r="D948" s="123"/>
      <c r="E948" s="127"/>
      <c r="F948" s="125"/>
      <c r="G948" s="125"/>
      <c r="I948" s="126"/>
      <c r="J948" s="127"/>
      <c r="K948" s="127"/>
    </row>
    <row r="949">
      <c r="A949" s="121"/>
      <c r="B949" s="122"/>
      <c r="D949" s="123"/>
      <c r="E949" s="127"/>
      <c r="F949" s="125"/>
      <c r="G949" s="125"/>
      <c r="I949" s="126"/>
      <c r="J949" s="127"/>
      <c r="K949" s="127"/>
    </row>
    <row r="950">
      <c r="A950" s="121"/>
      <c r="B950" s="122"/>
      <c r="D950" s="123"/>
      <c r="E950" s="127"/>
      <c r="F950" s="125"/>
      <c r="G950" s="125"/>
      <c r="I950" s="126"/>
      <c r="J950" s="127"/>
      <c r="K950" s="127"/>
    </row>
    <row r="951">
      <c r="A951" s="121"/>
      <c r="B951" s="122"/>
      <c r="D951" s="123"/>
      <c r="E951" s="127"/>
      <c r="F951" s="125"/>
      <c r="G951" s="125"/>
      <c r="I951" s="126"/>
      <c r="J951" s="127"/>
      <c r="K951" s="127"/>
    </row>
    <row r="952">
      <c r="A952" s="121"/>
      <c r="B952" s="122"/>
      <c r="D952" s="123"/>
      <c r="E952" s="127"/>
      <c r="F952" s="125"/>
      <c r="G952" s="125"/>
      <c r="I952" s="126"/>
      <c r="J952" s="127"/>
      <c r="K952" s="127"/>
    </row>
    <row r="953">
      <c r="A953" s="121"/>
      <c r="B953" s="122"/>
      <c r="D953" s="123"/>
      <c r="E953" s="127"/>
      <c r="F953" s="125"/>
      <c r="G953" s="125"/>
      <c r="I953" s="126"/>
      <c r="J953" s="127"/>
      <c r="K953" s="127"/>
    </row>
    <row r="954">
      <c r="A954" s="121"/>
      <c r="B954" s="122"/>
      <c r="D954" s="123"/>
      <c r="E954" s="127"/>
      <c r="F954" s="125"/>
      <c r="G954" s="125"/>
      <c r="I954" s="126"/>
      <c r="J954" s="127"/>
      <c r="K954" s="127"/>
    </row>
    <row r="955">
      <c r="A955" s="121"/>
      <c r="B955" s="122"/>
      <c r="D955" s="123"/>
      <c r="E955" s="127"/>
      <c r="F955" s="125"/>
      <c r="G955" s="125"/>
      <c r="I955" s="126"/>
      <c r="J955" s="127"/>
      <c r="K955" s="127"/>
    </row>
    <row r="956">
      <c r="A956" s="121"/>
      <c r="B956" s="122"/>
      <c r="D956" s="123"/>
      <c r="E956" s="127"/>
      <c r="F956" s="125"/>
      <c r="G956" s="125"/>
      <c r="I956" s="126"/>
      <c r="J956" s="127"/>
      <c r="K956" s="127"/>
    </row>
    <row r="957">
      <c r="A957" s="121"/>
      <c r="B957" s="122"/>
      <c r="D957" s="123"/>
      <c r="E957" s="127"/>
      <c r="F957" s="125"/>
      <c r="G957" s="125"/>
      <c r="I957" s="126"/>
      <c r="J957" s="127"/>
      <c r="K957" s="127"/>
    </row>
    <row r="958">
      <c r="A958" s="121"/>
      <c r="B958" s="122"/>
      <c r="D958" s="123"/>
      <c r="E958" s="127"/>
      <c r="F958" s="125"/>
      <c r="G958" s="125"/>
      <c r="I958" s="126"/>
      <c r="J958" s="127"/>
      <c r="K958" s="127"/>
    </row>
    <row r="959">
      <c r="A959" s="121"/>
      <c r="B959" s="122"/>
      <c r="D959" s="123"/>
      <c r="E959" s="127"/>
      <c r="F959" s="125"/>
      <c r="G959" s="125"/>
      <c r="I959" s="126"/>
      <c r="J959" s="127"/>
      <c r="K959" s="127"/>
    </row>
    <row r="960">
      <c r="A960" s="121"/>
      <c r="B960" s="122"/>
      <c r="D960" s="123"/>
      <c r="E960" s="127"/>
      <c r="F960" s="125"/>
      <c r="G960" s="125"/>
      <c r="I960" s="126"/>
      <c r="J960" s="127"/>
      <c r="K960" s="127"/>
    </row>
    <row r="961">
      <c r="A961" s="121"/>
      <c r="B961" s="122"/>
      <c r="D961" s="123"/>
      <c r="E961" s="127"/>
      <c r="F961" s="125"/>
      <c r="G961" s="125"/>
      <c r="I961" s="126"/>
      <c r="J961" s="127"/>
      <c r="K961" s="127"/>
    </row>
    <row r="962">
      <c r="A962" s="121"/>
      <c r="B962" s="122"/>
      <c r="D962" s="123"/>
      <c r="E962" s="127"/>
      <c r="F962" s="125"/>
      <c r="G962" s="125"/>
      <c r="I962" s="126"/>
      <c r="J962" s="127"/>
      <c r="K962" s="127"/>
    </row>
    <row r="963">
      <c r="A963" s="121"/>
      <c r="B963" s="122"/>
      <c r="D963" s="123"/>
      <c r="E963" s="127"/>
      <c r="F963" s="125"/>
      <c r="G963" s="125"/>
      <c r="I963" s="126"/>
      <c r="J963" s="127"/>
      <c r="K963" s="127"/>
    </row>
    <row r="964">
      <c r="A964" s="121"/>
      <c r="B964" s="122"/>
      <c r="D964" s="123"/>
      <c r="E964" s="127"/>
      <c r="F964" s="125"/>
      <c r="G964" s="125"/>
      <c r="I964" s="126"/>
      <c r="J964" s="127"/>
      <c r="K964" s="127"/>
    </row>
    <row r="965">
      <c r="A965" s="121"/>
      <c r="B965" s="122"/>
      <c r="D965" s="123"/>
      <c r="E965" s="127"/>
      <c r="F965" s="125"/>
      <c r="G965" s="125"/>
      <c r="I965" s="126"/>
      <c r="J965" s="127"/>
      <c r="K965" s="127"/>
    </row>
    <row r="966">
      <c r="A966" s="121"/>
      <c r="B966" s="122"/>
      <c r="D966" s="123"/>
      <c r="E966" s="127"/>
      <c r="F966" s="125"/>
      <c r="G966" s="125"/>
      <c r="I966" s="126"/>
      <c r="J966" s="127"/>
      <c r="K966" s="127"/>
    </row>
    <row r="967">
      <c r="A967" s="121"/>
      <c r="B967" s="122"/>
      <c r="D967" s="123"/>
      <c r="E967" s="127"/>
      <c r="F967" s="125"/>
      <c r="G967" s="125"/>
      <c r="I967" s="126"/>
      <c r="J967" s="127"/>
      <c r="K967" s="127"/>
    </row>
    <row r="968">
      <c r="A968" s="121"/>
      <c r="B968" s="122"/>
      <c r="D968" s="123"/>
      <c r="E968" s="127"/>
      <c r="F968" s="125"/>
      <c r="G968" s="125"/>
      <c r="I968" s="126"/>
      <c r="J968" s="127"/>
      <c r="K968" s="127"/>
    </row>
    <row r="969">
      <c r="A969" s="121"/>
      <c r="B969" s="122"/>
      <c r="D969" s="123"/>
      <c r="E969" s="127"/>
      <c r="F969" s="125"/>
      <c r="G969" s="125"/>
      <c r="I969" s="126"/>
      <c r="J969" s="127"/>
      <c r="K969" s="127"/>
    </row>
    <row r="970">
      <c r="A970" s="121"/>
      <c r="B970" s="122"/>
      <c r="D970" s="123"/>
      <c r="E970" s="127"/>
      <c r="F970" s="125"/>
      <c r="G970" s="125"/>
      <c r="I970" s="126"/>
      <c r="J970" s="127"/>
      <c r="K970" s="127"/>
    </row>
    <row r="971">
      <c r="A971" s="121"/>
      <c r="B971" s="122"/>
      <c r="D971" s="123"/>
      <c r="E971" s="127"/>
      <c r="F971" s="125"/>
      <c r="G971" s="125"/>
      <c r="I971" s="126"/>
      <c r="J971" s="127"/>
      <c r="K971" s="127"/>
    </row>
    <row r="972">
      <c r="A972" s="121"/>
      <c r="B972" s="122"/>
      <c r="D972" s="123"/>
      <c r="E972" s="127"/>
      <c r="F972" s="125"/>
      <c r="G972" s="125"/>
      <c r="I972" s="126"/>
      <c r="J972" s="127"/>
      <c r="K972" s="127"/>
    </row>
    <row r="973">
      <c r="A973" s="121"/>
      <c r="B973" s="122"/>
      <c r="D973" s="123"/>
      <c r="E973" s="127"/>
      <c r="F973" s="125"/>
      <c r="G973" s="125"/>
      <c r="I973" s="126"/>
      <c r="J973" s="127"/>
      <c r="K973" s="127"/>
    </row>
    <row r="974">
      <c r="A974" s="121"/>
      <c r="B974" s="122"/>
      <c r="D974" s="123"/>
      <c r="E974" s="127"/>
      <c r="F974" s="125"/>
      <c r="G974" s="125"/>
      <c r="I974" s="126"/>
      <c r="J974" s="127"/>
      <c r="K974" s="127"/>
    </row>
    <row r="975">
      <c r="A975" s="121"/>
      <c r="B975" s="122"/>
      <c r="D975" s="123"/>
      <c r="E975" s="127"/>
      <c r="F975" s="125"/>
      <c r="G975" s="125"/>
      <c r="I975" s="126"/>
      <c r="J975" s="127"/>
      <c r="K975" s="127"/>
    </row>
    <row r="976">
      <c r="A976" s="121"/>
      <c r="B976" s="122"/>
      <c r="D976" s="123"/>
      <c r="E976" s="127"/>
      <c r="F976" s="125"/>
      <c r="G976" s="125"/>
      <c r="I976" s="126"/>
      <c r="J976" s="127"/>
      <c r="K976" s="127"/>
    </row>
    <row r="977">
      <c r="A977" s="121"/>
      <c r="B977" s="122"/>
      <c r="D977" s="123"/>
      <c r="E977" s="127"/>
      <c r="F977" s="125"/>
      <c r="G977" s="125"/>
      <c r="I977" s="126"/>
      <c r="J977" s="127"/>
      <c r="K977" s="127"/>
    </row>
    <row r="978">
      <c r="A978" s="121"/>
      <c r="B978" s="122"/>
      <c r="D978" s="123"/>
      <c r="E978" s="127"/>
      <c r="F978" s="125"/>
      <c r="G978" s="125"/>
      <c r="I978" s="126"/>
      <c r="J978" s="127"/>
      <c r="K978" s="127"/>
    </row>
    <row r="979">
      <c r="A979" s="121"/>
      <c r="B979" s="122"/>
      <c r="D979" s="123"/>
      <c r="E979" s="127"/>
      <c r="F979" s="125"/>
      <c r="G979" s="125"/>
      <c r="I979" s="126"/>
      <c r="J979" s="127"/>
      <c r="K979" s="127"/>
    </row>
    <row r="980">
      <c r="A980" s="121"/>
      <c r="B980" s="122"/>
      <c r="D980" s="123"/>
      <c r="E980" s="127"/>
      <c r="F980" s="125"/>
      <c r="G980" s="125"/>
      <c r="I980" s="126"/>
      <c r="J980" s="127"/>
      <c r="K980" s="127"/>
    </row>
    <row r="981">
      <c r="A981" s="121"/>
      <c r="B981" s="122"/>
      <c r="D981" s="123"/>
      <c r="E981" s="127"/>
      <c r="F981" s="125"/>
      <c r="G981" s="125"/>
      <c r="I981" s="126"/>
      <c r="J981" s="127"/>
      <c r="K981" s="127"/>
    </row>
    <row r="982">
      <c r="A982" s="121"/>
      <c r="B982" s="122"/>
      <c r="D982" s="123"/>
      <c r="E982" s="127"/>
      <c r="F982" s="125"/>
      <c r="G982" s="125"/>
      <c r="I982" s="126"/>
      <c r="J982" s="127"/>
      <c r="K982" s="127"/>
    </row>
    <row r="983">
      <c r="A983" s="121"/>
      <c r="B983" s="122"/>
      <c r="D983" s="123"/>
      <c r="E983" s="127"/>
      <c r="F983" s="125"/>
      <c r="G983" s="125"/>
      <c r="I983" s="126"/>
      <c r="J983" s="127"/>
      <c r="K983" s="127"/>
    </row>
    <row r="984">
      <c r="A984" s="121"/>
      <c r="B984" s="122"/>
      <c r="D984" s="123"/>
      <c r="E984" s="127"/>
      <c r="F984" s="125"/>
      <c r="G984" s="125"/>
      <c r="I984" s="126"/>
      <c r="J984" s="127"/>
      <c r="K984" s="127"/>
    </row>
    <row r="985">
      <c r="A985" s="121"/>
      <c r="B985" s="122"/>
      <c r="D985" s="123"/>
      <c r="E985" s="127"/>
      <c r="F985" s="125"/>
      <c r="G985" s="125"/>
      <c r="I985" s="126"/>
      <c r="J985" s="127"/>
      <c r="K985" s="127"/>
    </row>
    <row r="986">
      <c r="A986" s="121"/>
      <c r="B986" s="122"/>
      <c r="D986" s="123"/>
      <c r="E986" s="127"/>
      <c r="F986" s="125"/>
      <c r="G986" s="125"/>
      <c r="I986" s="126"/>
      <c r="J986" s="127"/>
      <c r="K986" s="127"/>
    </row>
    <row r="987">
      <c r="A987" s="121"/>
      <c r="B987" s="122"/>
      <c r="D987" s="123"/>
      <c r="E987" s="127"/>
      <c r="F987" s="125"/>
      <c r="G987" s="125"/>
      <c r="I987" s="126"/>
      <c r="J987" s="127"/>
      <c r="K987" s="127"/>
    </row>
    <row r="988">
      <c r="A988" s="121"/>
      <c r="B988" s="122"/>
      <c r="D988" s="123"/>
      <c r="E988" s="127"/>
      <c r="F988" s="125"/>
      <c r="G988" s="125"/>
      <c r="I988" s="126"/>
      <c r="J988" s="127"/>
      <c r="K988" s="127"/>
    </row>
    <row r="989">
      <c r="A989" s="121"/>
      <c r="B989" s="122"/>
      <c r="D989" s="123"/>
      <c r="E989" s="127"/>
      <c r="F989" s="125"/>
      <c r="G989" s="125"/>
      <c r="I989" s="126"/>
      <c r="J989" s="127"/>
      <c r="K989" s="127"/>
    </row>
    <row r="990">
      <c r="A990" s="121"/>
      <c r="B990" s="122"/>
      <c r="D990" s="123"/>
      <c r="E990" s="127"/>
      <c r="F990" s="125"/>
      <c r="G990" s="125"/>
      <c r="I990" s="126"/>
      <c r="J990" s="127"/>
      <c r="K990" s="127"/>
    </row>
    <row r="991">
      <c r="A991" s="121"/>
      <c r="B991" s="122"/>
      <c r="D991" s="123"/>
      <c r="E991" s="127"/>
      <c r="F991" s="125"/>
      <c r="G991" s="125"/>
      <c r="I991" s="126"/>
      <c r="J991" s="127"/>
      <c r="K991" s="127"/>
    </row>
    <row r="992">
      <c r="A992" s="121"/>
      <c r="B992" s="122"/>
      <c r="D992" s="123"/>
      <c r="E992" s="127"/>
      <c r="F992" s="125"/>
      <c r="G992" s="125"/>
      <c r="I992" s="126"/>
      <c r="J992" s="127"/>
      <c r="K992" s="127"/>
    </row>
    <row r="993">
      <c r="A993" s="121"/>
      <c r="B993" s="122"/>
      <c r="D993" s="123"/>
      <c r="E993" s="127"/>
      <c r="F993" s="125"/>
      <c r="G993" s="125"/>
      <c r="I993" s="126"/>
      <c r="J993" s="127"/>
      <c r="K993" s="127"/>
    </row>
    <row r="994">
      <c r="A994" s="121"/>
      <c r="B994" s="122"/>
      <c r="D994" s="123"/>
      <c r="E994" s="127"/>
      <c r="F994" s="125"/>
      <c r="G994" s="125"/>
      <c r="I994" s="126"/>
      <c r="J994" s="127"/>
      <c r="K994" s="127"/>
    </row>
    <row r="995">
      <c r="A995" s="121"/>
      <c r="B995" s="122"/>
      <c r="D995" s="123"/>
      <c r="E995" s="127"/>
      <c r="F995" s="125"/>
      <c r="G995" s="125"/>
      <c r="I995" s="126"/>
      <c r="J995" s="127"/>
      <c r="K995" s="127"/>
    </row>
    <row r="996">
      <c r="A996" s="121"/>
      <c r="B996" s="122"/>
      <c r="D996" s="123"/>
      <c r="E996" s="127"/>
      <c r="F996" s="125"/>
      <c r="G996" s="125"/>
      <c r="I996" s="126"/>
      <c r="J996" s="127"/>
      <c r="K996" s="127"/>
    </row>
    <row r="997">
      <c r="A997" s="121"/>
      <c r="B997" s="122"/>
      <c r="D997" s="123"/>
      <c r="E997" s="127"/>
      <c r="F997" s="125"/>
      <c r="G997" s="125"/>
      <c r="I997" s="126"/>
      <c r="J997" s="127"/>
      <c r="K997" s="127"/>
    </row>
    <row r="998">
      <c r="A998" s="121"/>
      <c r="B998" s="122"/>
      <c r="D998" s="123"/>
      <c r="E998" s="127"/>
      <c r="F998" s="125"/>
      <c r="G998" s="125"/>
      <c r="I998" s="126"/>
      <c r="J998" s="127"/>
      <c r="K998" s="127"/>
    </row>
    <row r="999">
      <c r="A999" s="121"/>
      <c r="B999" s="122"/>
      <c r="D999" s="123"/>
      <c r="E999" s="127"/>
      <c r="F999" s="125"/>
      <c r="G999" s="125"/>
      <c r="I999" s="126"/>
      <c r="J999" s="127"/>
      <c r="K999" s="127"/>
    </row>
    <row r="1000">
      <c r="A1000" s="121"/>
      <c r="B1000" s="122"/>
      <c r="D1000" s="123"/>
      <c r="E1000" s="127"/>
      <c r="F1000" s="125"/>
      <c r="G1000" s="125"/>
      <c r="I1000" s="126"/>
      <c r="J1000" s="127"/>
      <c r="K1000" s="127"/>
    </row>
  </sheetData>
  <autoFilter ref="$A$4:$K$30"/>
  <customSheetViews>
    <customSheetView guid="{AE12009C-ACD1-4246-A326-D573D205DE1C}" filter="1" showAutoFilter="1">
      <autoFilter ref="$B$1:$K$1"/>
    </customSheetView>
  </customSheetViews>
  <mergeCells count="23">
    <mergeCell ref="C14:H14"/>
    <mergeCell ref="C15:H15"/>
    <mergeCell ref="C16:H16"/>
    <mergeCell ref="C17:H17"/>
    <mergeCell ref="C18:H18"/>
    <mergeCell ref="A1:K1"/>
    <mergeCell ref="A5:A11"/>
    <mergeCell ref="C7:H7"/>
    <mergeCell ref="C8:H8"/>
    <mergeCell ref="J8:J9"/>
    <mergeCell ref="K8:K9"/>
    <mergeCell ref="C9:H9"/>
    <mergeCell ref="B21:B22"/>
    <mergeCell ref="B23:B27"/>
    <mergeCell ref="C28:H28"/>
    <mergeCell ref="B5:B6"/>
    <mergeCell ref="B10:B11"/>
    <mergeCell ref="A12:A18"/>
    <mergeCell ref="B12:B13"/>
    <mergeCell ref="A19:A20"/>
    <mergeCell ref="B19:B20"/>
    <mergeCell ref="A21:A30"/>
    <mergeCell ref="B29:B30"/>
  </mergeCells>
  <printOptions horizontalCentered="1"/>
  <pageMargins bottom="0.4330708661417323" footer="0.0" header="0.0" left="0.1968503937007874" right="0.1968503937007874" top="0.7480314960629921"/>
  <pageSetup paperSize="9" orientation="landscape"/>
  <headerFooter>
    <oddHeader>&amp;LEkonomika a podnikání&amp;RAkční plán rozvoje města pro období 2023 - 2024 - vyhodnocení plnění k 31.12.2023</oddHead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00"/>
    <pageSetUpPr/>
  </sheetPr>
  <sheetViews>
    <sheetView workbookViewId="0"/>
  </sheetViews>
  <sheetFormatPr customHeight="1" defaultColWidth="14.43" defaultRowHeight="15.0"/>
  <cols>
    <col customWidth="1" min="1" max="1" width="5.29"/>
    <col customWidth="1" min="2" max="2" width="24.86"/>
    <col customWidth="1" min="3" max="3" width="39.57"/>
    <col customWidth="1" min="4" max="4" width="7.71"/>
    <col customWidth="1" min="5" max="5" width="8.43"/>
    <col customWidth="1" hidden="1" min="6" max="7" width="9.71"/>
    <col customWidth="1" hidden="1" min="8" max="9" width="9.29"/>
    <col customWidth="1" min="10" max="10" width="10.57"/>
    <col customWidth="1" min="11" max="11" width="50.57"/>
    <col customWidth="1" min="12" max="12" width="34.43"/>
    <col customWidth="1" min="13" max="26" width="8.71"/>
  </cols>
  <sheetData>
    <row r="1">
      <c r="A1" s="129" t="s">
        <v>94</v>
      </c>
      <c r="B1" s="51"/>
      <c r="C1" s="51"/>
      <c r="D1" s="51"/>
      <c r="E1" s="51"/>
      <c r="F1" s="51"/>
      <c r="G1" s="51"/>
      <c r="H1" s="51"/>
      <c r="I1" s="51"/>
      <c r="J1" s="51"/>
      <c r="K1" s="52"/>
    </row>
    <row r="2">
      <c r="A2" s="130" t="s">
        <v>1</v>
      </c>
      <c r="B2" s="131" t="s">
        <v>2</v>
      </c>
      <c r="C2" s="131" t="s">
        <v>3</v>
      </c>
      <c r="D2" s="132" t="s">
        <v>4</v>
      </c>
      <c r="E2" s="133" t="s">
        <v>5</v>
      </c>
      <c r="F2" s="134" t="s">
        <v>6</v>
      </c>
      <c r="G2" s="134" t="s">
        <v>7</v>
      </c>
      <c r="H2" s="135" t="s">
        <v>8</v>
      </c>
      <c r="I2" s="136"/>
      <c r="J2" s="137" t="s">
        <v>9</v>
      </c>
      <c r="K2" s="138" t="s">
        <v>10</v>
      </c>
    </row>
    <row r="3">
      <c r="A3" s="139"/>
      <c r="B3" s="140"/>
      <c r="C3" s="140"/>
      <c r="D3" s="141" t="s">
        <v>11</v>
      </c>
      <c r="E3" s="142"/>
      <c r="F3" s="143"/>
      <c r="G3" s="143"/>
      <c r="H3" s="144"/>
      <c r="I3" s="145"/>
      <c r="J3" s="146"/>
      <c r="K3" s="147"/>
    </row>
    <row r="4">
      <c r="A4" s="148"/>
      <c r="B4" s="149"/>
      <c r="C4" s="149"/>
      <c r="D4" s="150" t="s">
        <v>12</v>
      </c>
      <c r="E4" s="151"/>
      <c r="F4" s="152"/>
      <c r="G4" s="152"/>
      <c r="H4" s="153"/>
      <c r="I4" s="154"/>
      <c r="J4" s="155"/>
      <c r="K4" s="156"/>
    </row>
    <row r="5" ht="34.5" customHeight="1">
      <c r="A5" s="29" t="s">
        <v>95</v>
      </c>
      <c r="B5" s="71" t="s">
        <v>96</v>
      </c>
      <c r="C5" s="72" t="s">
        <v>97</v>
      </c>
      <c r="D5" s="73" t="s">
        <v>34</v>
      </c>
      <c r="E5" s="74" t="s">
        <v>98</v>
      </c>
      <c r="F5" s="76">
        <v>300.0</v>
      </c>
      <c r="G5" s="157"/>
      <c r="H5" s="158" t="s">
        <v>99</v>
      </c>
      <c r="I5" s="159" t="s">
        <v>18</v>
      </c>
      <c r="J5" s="37" t="s">
        <v>19</v>
      </c>
      <c r="K5" s="38" t="s">
        <v>100</v>
      </c>
    </row>
    <row r="6">
      <c r="A6" s="39"/>
      <c r="B6" s="40"/>
      <c r="C6" s="78" t="s">
        <v>101</v>
      </c>
      <c r="D6" s="79" t="s">
        <v>34</v>
      </c>
      <c r="E6" s="80" t="s">
        <v>102</v>
      </c>
      <c r="F6" s="82">
        <v>500.0</v>
      </c>
      <c r="G6" s="160"/>
      <c r="H6" s="161" t="s">
        <v>103</v>
      </c>
      <c r="I6" s="162" t="s">
        <v>18</v>
      </c>
      <c r="J6" s="47" t="s">
        <v>19</v>
      </c>
      <c r="K6" s="48" t="s">
        <v>104</v>
      </c>
      <c r="L6" s="163"/>
    </row>
    <row r="7">
      <c r="A7" s="39"/>
      <c r="B7" s="164" t="s">
        <v>105</v>
      </c>
      <c r="C7" s="165" t="s">
        <v>106</v>
      </c>
      <c r="D7" s="51"/>
      <c r="E7" s="51"/>
      <c r="F7" s="51"/>
      <c r="G7" s="51"/>
      <c r="H7" s="52"/>
      <c r="I7" s="166"/>
      <c r="J7" s="54"/>
      <c r="K7" s="167" t="s">
        <v>28</v>
      </c>
    </row>
    <row r="8">
      <c r="A8" s="39"/>
      <c r="B8" s="168" t="s">
        <v>107</v>
      </c>
      <c r="C8" s="72" t="s">
        <v>108</v>
      </c>
      <c r="D8" s="73" t="s">
        <v>16</v>
      </c>
      <c r="E8" s="74" t="s">
        <v>109</v>
      </c>
      <c r="F8" s="76">
        <v>350.0</v>
      </c>
      <c r="G8" s="157"/>
      <c r="H8" s="158"/>
      <c r="I8" s="159" t="s">
        <v>18</v>
      </c>
      <c r="J8" s="68" t="s">
        <v>36</v>
      </c>
      <c r="K8" s="38" t="s">
        <v>110</v>
      </c>
      <c r="L8" s="169"/>
    </row>
    <row r="9">
      <c r="A9" s="39"/>
      <c r="B9" s="170"/>
      <c r="C9" s="95" t="s">
        <v>111</v>
      </c>
      <c r="D9" s="96" t="s">
        <v>16</v>
      </c>
      <c r="E9" s="97" t="s">
        <v>109</v>
      </c>
      <c r="F9" s="171"/>
      <c r="G9" s="171"/>
      <c r="H9" s="161"/>
      <c r="I9" s="162"/>
      <c r="J9" s="172" t="s">
        <v>112</v>
      </c>
      <c r="K9" s="48" t="s">
        <v>113</v>
      </c>
      <c r="L9" s="169"/>
    </row>
    <row r="10" ht="78.0" customHeight="1">
      <c r="A10" s="29" t="s">
        <v>114</v>
      </c>
      <c r="B10" s="164" t="s">
        <v>115</v>
      </c>
      <c r="C10" s="173" t="s">
        <v>116</v>
      </c>
      <c r="D10" s="174" t="s">
        <v>117</v>
      </c>
      <c r="E10" s="175" t="s">
        <v>118</v>
      </c>
      <c r="F10" s="176"/>
      <c r="G10" s="176"/>
      <c r="H10" s="177" t="s">
        <v>119</v>
      </c>
      <c r="I10" s="166"/>
      <c r="J10" s="88" t="s">
        <v>19</v>
      </c>
      <c r="K10" s="55" t="s">
        <v>120</v>
      </c>
      <c r="L10" s="169"/>
    </row>
    <row r="11" ht="92.25" customHeight="1">
      <c r="A11" s="40"/>
      <c r="B11" s="178" t="s">
        <v>121</v>
      </c>
      <c r="C11" s="179" t="s">
        <v>27</v>
      </c>
      <c r="D11" s="51"/>
      <c r="E11" s="51"/>
      <c r="F11" s="51"/>
      <c r="G11" s="51"/>
      <c r="H11" s="52"/>
      <c r="I11" s="180"/>
      <c r="J11" s="88" t="s">
        <v>19</v>
      </c>
      <c r="K11" s="167" t="s">
        <v>122</v>
      </c>
    </row>
    <row r="12">
      <c r="A12" s="29" t="s">
        <v>114</v>
      </c>
      <c r="B12" s="181" t="s">
        <v>123</v>
      </c>
      <c r="C12" s="182" t="s">
        <v>124</v>
      </c>
      <c r="D12" s="183" t="s">
        <v>34</v>
      </c>
      <c r="E12" s="184" t="s">
        <v>125</v>
      </c>
      <c r="F12" s="185">
        <v>88000.0</v>
      </c>
      <c r="G12" s="185"/>
      <c r="H12" s="186"/>
      <c r="I12" s="187" t="s">
        <v>24</v>
      </c>
      <c r="J12" s="68" t="s">
        <v>36</v>
      </c>
      <c r="K12" s="188" t="s">
        <v>126</v>
      </c>
      <c r="L12" s="163"/>
    </row>
    <row r="13">
      <c r="A13" s="40"/>
      <c r="B13" s="40"/>
      <c r="C13" s="189" t="s">
        <v>127</v>
      </c>
      <c r="D13" s="190" t="s">
        <v>128</v>
      </c>
      <c r="E13" s="191" t="s">
        <v>129</v>
      </c>
      <c r="F13" s="192"/>
      <c r="G13" s="193"/>
      <c r="H13" s="194"/>
      <c r="I13" s="162"/>
      <c r="J13" s="47" t="s">
        <v>19</v>
      </c>
      <c r="K13" s="195" t="s">
        <v>130</v>
      </c>
    </row>
    <row r="14" ht="23.25" customHeight="1">
      <c r="A14" s="29" t="s">
        <v>131</v>
      </c>
      <c r="B14" s="71" t="s">
        <v>132</v>
      </c>
      <c r="C14" s="90" t="s">
        <v>133</v>
      </c>
      <c r="D14" s="91" t="s">
        <v>16</v>
      </c>
      <c r="E14" s="92" t="s">
        <v>17</v>
      </c>
      <c r="F14" s="93">
        <v>150.0</v>
      </c>
      <c r="G14" s="196"/>
      <c r="H14" s="158"/>
      <c r="I14" s="159" t="s">
        <v>18</v>
      </c>
      <c r="J14" s="37" t="s">
        <v>19</v>
      </c>
      <c r="K14" s="188" t="s">
        <v>134</v>
      </c>
    </row>
    <row r="15">
      <c r="A15" s="39"/>
      <c r="B15" s="39"/>
      <c r="C15" s="197" t="s">
        <v>135</v>
      </c>
      <c r="D15" s="198" t="s">
        <v>16</v>
      </c>
      <c r="E15" s="199" t="s">
        <v>62</v>
      </c>
      <c r="F15" s="200">
        <v>10000.0</v>
      </c>
      <c r="G15" s="201"/>
      <c r="H15" s="202"/>
      <c r="I15" s="203" t="s">
        <v>24</v>
      </c>
      <c r="J15" s="111" t="s">
        <v>36</v>
      </c>
      <c r="K15" s="204" t="s">
        <v>136</v>
      </c>
    </row>
    <row r="16">
      <c r="A16" s="39"/>
      <c r="B16" s="39"/>
      <c r="C16" s="197" t="s">
        <v>137</v>
      </c>
      <c r="D16" s="198" t="s">
        <v>16</v>
      </c>
      <c r="E16" s="199" t="s">
        <v>62</v>
      </c>
      <c r="F16" s="200">
        <v>4396.0</v>
      </c>
      <c r="G16" s="201"/>
      <c r="H16" s="202"/>
      <c r="I16" s="203" t="s">
        <v>24</v>
      </c>
      <c r="J16" s="205" t="s">
        <v>19</v>
      </c>
      <c r="K16" s="204" t="s">
        <v>138</v>
      </c>
    </row>
    <row r="17">
      <c r="A17" s="39"/>
      <c r="B17" s="40"/>
      <c r="C17" s="95" t="s">
        <v>139</v>
      </c>
      <c r="D17" s="96" t="s">
        <v>16</v>
      </c>
      <c r="E17" s="97" t="s">
        <v>140</v>
      </c>
      <c r="F17" s="98">
        <v>600.0</v>
      </c>
      <c r="G17" s="206"/>
      <c r="H17" s="207"/>
      <c r="I17" s="162" t="s">
        <v>18</v>
      </c>
      <c r="J17" s="47" t="s">
        <v>19</v>
      </c>
      <c r="K17" s="195" t="s">
        <v>141</v>
      </c>
    </row>
    <row r="18">
      <c r="A18" s="39"/>
      <c r="B18" s="164" t="s">
        <v>142</v>
      </c>
      <c r="C18" s="173" t="s">
        <v>143</v>
      </c>
      <c r="D18" s="174" t="s">
        <v>34</v>
      </c>
      <c r="E18" s="175" t="s">
        <v>98</v>
      </c>
      <c r="F18" s="176">
        <v>5000.0</v>
      </c>
      <c r="G18" s="208"/>
      <c r="H18" s="177"/>
      <c r="I18" s="209" t="s">
        <v>24</v>
      </c>
      <c r="J18" s="88" t="s">
        <v>19</v>
      </c>
      <c r="K18" s="55" t="s">
        <v>144</v>
      </c>
    </row>
    <row r="19" ht="28.5" customHeight="1">
      <c r="A19" s="39"/>
      <c r="B19" s="71" t="s">
        <v>145</v>
      </c>
      <c r="C19" s="90" t="s">
        <v>146</v>
      </c>
      <c r="D19" s="91" t="s">
        <v>34</v>
      </c>
      <c r="E19" s="92" t="s">
        <v>12</v>
      </c>
      <c r="F19" s="93">
        <f>14708</f>
        <v>14708</v>
      </c>
      <c r="G19" s="93"/>
      <c r="H19" s="158" t="s">
        <v>147</v>
      </c>
      <c r="I19" s="210" t="s">
        <v>65</v>
      </c>
      <c r="J19" s="68" t="s">
        <v>36</v>
      </c>
      <c r="K19" s="188" t="s">
        <v>136</v>
      </c>
    </row>
    <row r="20">
      <c r="A20" s="39"/>
      <c r="B20" s="39"/>
      <c r="C20" s="197" t="s">
        <v>148</v>
      </c>
      <c r="D20" s="211" t="s">
        <v>34</v>
      </c>
      <c r="E20" s="199" t="s">
        <v>12</v>
      </c>
      <c r="F20" s="212">
        <v>17600.0</v>
      </c>
      <c r="G20" s="212"/>
      <c r="H20" s="213" t="s">
        <v>147</v>
      </c>
      <c r="I20" s="214" t="s">
        <v>18</v>
      </c>
      <c r="J20" s="205" t="s">
        <v>19</v>
      </c>
      <c r="K20" s="204" t="s">
        <v>149</v>
      </c>
    </row>
    <row r="21">
      <c r="A21" s="40"/>
      <c r="B21" s="40"/>
      <c r="C21" s="95" t="s">
        <v>150</v>
      </c>
      <c r="D21" s="96" t="s">
        <v>16</v>
      </c>
      <c r="E21" s="97" t="s">
        <v>151</v>
      </c>
      <c r="F21" s="98">
        <v>95.0</v>
      </c>
      <c r="G21" s="98"/>
      <c r="H21" s="207"/>
      <c r="I21" s="215" t="s">
        <v>24</v>
      </c>
      <c r="J21" s="47" t="s">
        <v>19</v>
      </c>
      <c r="K21" s="195" t="s">
        <v>152</v>
      </c>
    </row>
    <row r="22" ht="43.5" customHeight="1">
      <c r="A22" s="29" t="s">
        <v>131</v>
      </c>
      <c r="B22" s="71" t="s">
        <v>145</v>
      </c>
      <c r="C22" s="90" t="s">
        <v>153</v>
      </c>
      <c r="D22" s="91" t="s">
        <v>16</v>
      </c>
      <c r="E22" s="92" t="s">
        <v>62</v>
      </c>
      <c r="F22" s="93">
        <v>2100.0</v>
      </c>
      <c r="G22" s="196"/>
      <c r="H22" s="158" t="s">
        <v>81</v>
      </c>
      <c r="I22" s="210" t="s">
        <v>24</v>
      </c>
      <c r="J22" s="68" t="s">
        <v>36</v>
      </c>
      <c r="K22" s="188" t="s">
        <v>154</v>
      </c>
    </row>
    <row r="23" ht="30.0" customHeight="1">
      <c r="A23" s="39"/>
      <c r="B23" s="39"/>
      <c r="C23" s="197" t="s">
        <v>155</v>
      </c>
      <c r="D23" s="198" t="s">
        <v>16</v>
      </c>
      <c r="E23" s="199" t="s">
        <v>23</v>
      </c>
      <c r="F23" s="200">
        <v>150.0</v>
      </c>
      <c r="G23" s="201"/>
      <c r="H23" s="202"/>
      <c r="I23" s="203" t="s">
        <v>24</v>
      </c>
      <c r="J23" s="216" t="s">
        <v>156</v>
      </c>
      <c r="K23" s="204" t="s">
        <v>157</v>
      </c>
    </row>
    <row r="24" ht="30.0" customHeight="1">
      <c r="A24" s="39"/>
      <c r="B24" s="39"/>
      <c r="C24" s="197" t="s">
        <v>158</v>
      </c>
      <c r="D24" s="198" t="s">
        <v>16</v>
      </c>
      <c r="E24" s="199" t="s">
        <v>62</v>
      </c>
      <c r="F24" s="200">
        <v>5000.0</v>
      </c>
      <c r="G24" s="201"/>
      <c r="H24" s="202"/>
      <c r="I24" s="214" t="s">
        <v>18</v>
      </c>
      <c r="J24" s="111" t="s">
        <v>36</v>
      </c>
      <c r="K24" s="204" t="s">
        <v>136</v>
      </c>
    </row>
    <row r="25" ht="30.0" customHeight="1">
      <c r="A25" s="39"/>
      <c r="B25" s="39"/>
      <c r="C25" s="197" t="s">
        <v>159</v>
      </c>
      <c r="D25" s="198" t="s">
        <v>16</v>
      </c>
      <c r="E25" s="199" t="s">
        <v>12</v>
      </c>
      <c r="F25" s="200">
        <v>4000.0</v>
      </c>
      <c r="G25" s="201"/>
      <c r="H25" s="202"/>
      <c r="I25" s="203" t="s">
        <v>24</v>
      </c>
      <c r="J25" s="205" t="s">
        <v>19</v>
      </c>
      <c r="K25" s="204" t="s">
        <v>160</v>
      </c>
    </row>
    <row r="26" ht="30.0" customHeight="1">
      <c r="A26" s="39"/>
      <c r="B26" s="39"/>
      <c r="C26" s="197" t="s">
        <v>161</v>
      </c>
      <c r="D26" s="198" t="s">
        <v>16</v>
      </c>
      <c r="E26" s="199" t="s">
        <v>12</v>
      </c>
      <c r="F26" s="200">
        <f>300+2500</f>
        <v>2800</v>
      </c>
      <c r="G26" s="201"/>
      <c r="H26" s="202"/>
      <c r="I26" s="203" t="s">
        <v>65</v>
      </c>
      <c r="J26" s="205" t="s">
        <v>19</v>
      </c>
      <c r="K26" s="204" t="s">
        <v>162</v>
      </c>
    </row>
    <row r="27" ht="30.0" customHeight="1">
      <c r="A27" s="39"/>
      <c r="B27" s="39"/>
      <c r="C27" s="217" t="s">
        <v>163</v>
      </c>
      <c r="D27" s="198" t="s">
        <v>16</v>
      </c>
      <c r="E27" s="218" t="s">
        <v>12</v>
      </c>
      <c r="F27" s="219">
        <v>600.0</v>
      </c>
      <c r="G27" s="201"/>
      <c r="H27" s="202"/>
      <c r="I27" s="214" t="s">
        <v>18</v>
      </c>
      <c r="J27" s="111" t="s">
        <v>36</v>
      </c>
      <c r="K27" s="204" t="s">
        <v>136</v>
      </c>
    </row>
    <row r="28" ht="30.0" customHeight="1">
      <c r="A28" s="39"/>
      <c r="B28" s="39"/>
      <c r="C28" s="217" t="s">
        <v>164</v>
      </c>
      <c r="D28" s="198" t="s">
        <v>16</v>
      </c>
      <c r="E28" s="218" t="s">
        <v>17</v>
      </c>
      <c r="F28" s="219">
        <v>2000.0</v>
      </c>
      <c r="G28" s="201"/>
      <c r="H28" s="202" t="s">
        <v>147</v>
      </c>
      <c r="I28" s="214" t="s">
        <v>18</v>
      </c>
      <c r="J28" s="216" t="s">
        <v>156</v>
      </c>
      <c r="K28" s="204" t="s">
        <v>157</v>
      </c>
    </row>
    <row r="29">
      <c r="A29" s="39"/>
      <c r="B29" s="39"/>
      <c r="C29" s="197" t="s">
        <v>165</v>
      </c>
      <c r="D29" s="198" t="s">
        <v>16</v>
      </c>
      <c r="E29" s="199" t="s">
        <v>12</v>
      </c>
      <c r="F29" s="200">
        <v>2000.0</v>
      </c>
      <c r="G29" s="201"/>
      <c r="H29" s="202"/>
      <c r="I29" s="214" t="s">
        <v>24</v>
      </c>
      <c r="J29" s="205" t="s">
        <v>19</v>
      </c>
      <c r="K29" s="204" t="s">
        <v>166</v>
      </c>
    </row>
    <row r="30">
      <c r="A30" s="39"/>
      <c r="B30" s="39"/>
      <c r="C30" s="197" t="s">
        <v>167</v>
      </c>
      <c r="D30" s="198" t="s">
        <v>34</v>
      </c>
      <c r="E30" s="199" t="s">
        <v>12</v>
      </c>
      <c r="F30" s="200">
        <v>500.0</v>
      </c>
      <c r="G30" s="201"/>
      <c r="H30" s="202"/>
      <c r="I30" s="220" t="s">
        <v>24</v>
      </c>
      <c r="J30" s="111" t="s">
        <v>36</v>
      </c>
      <c r="K30" s="204" t="s">
        <v>168</v>
      </c>
    </row>
    <row r="31">
      <c r="A31" s="39"/>
      <c r="B31" s="39"/>
      <c r="C31" s="197" t="s">
        <v>169</v>
      </c>
      <c r="D31" s="198" t="s">
        <v>34</v>
      </c>
      <c r="E31" s="199" t="s">
        <v>12</v>
      </c>
      <c r="F31" s="200">
        <v>600.0</v>
      </c>
      <c r="G31" s="200"/>
      <c r="H31" s="202"/>
      <c r="I31" s="220" t="s">
        <v>24</v>
      </c>
      <c r="J31" s="111" t="s">
        <v>36</v>
      </c>
      <c r="K31" s="204" t="s">
        <v>170</v>
      </c>
    </row>
    <row r="32">
      <c r="A32" s="39"/>
      <c r="B32" s="39"/>
      <c r="C32" s="217" t="s">
        <v>171</v>
      </c>
      <c r="D32" s="221" t="s">
        <v>16</v>
      </c>
      <c r="E32" s="218" t="s">
        <v>102</v>
      </c>
      <c r="F32" s="219">
        <v>250.0</v>
      </c>
      <c r="G32" s="219"/>
      <c r="H32" s="222"/>
      <c r="I32" s="214" t="s">
        <v>18</v>
      </c>
      <c r="J32" s="205" t="s">
        <v>19</v>
      </c>
      <c r="K32" s="204" t="s">
        <v>172</v>
      </c>
    </row>
    <row r="33">
      <c r="A33" s="40"/>
      <c r="B33" s="40"/>
      <c r="C33" s="95" t="s">
        <v>173</v>
      </c>
      <c r="D33" s="96" t="s">
        <v>174</v>
      </c>
      <c r="E33" s="97" t="s">
        <v>12</v>
      </c>
      <c r="F33" s="98">
        <f>900+1250</f>
        <v>2150</v>
      </c>
      <c r="G33" s="98"/>
      <c r="H33" s="207"/>
      <c r="I33" s="162" t="s">
        <v>18</v>
      </c>
      <c r="J33" s="47" t="s">
        <v>19</v>
      </c>
      <c r="K33" s="195" t="s">
        <v>172</v>
      </c>
    </row>
    <row r="34">
      <c r="A34" s="29" t="s">
        <v>131</v>
      </c>
      <c r="B34" s="181" t="s">
        <v>175</v>
      </c>
      <c r="C34" s="223" t="s">
        <v>176</v>
      </c>
      <c r="D34" s="183" t="s">
        <v>177</v>
      </c>
      <c r="E34" s="184" t="s">
        <v>109</v>
      </c>
      <c r="F34" s="224"/>
      <c r="G34" s="225"/>
      <c r="H34" s="186"/>
      <c r="I34" s="159"/>
      <c r="J34" s="68" t="s">
        <v>36</v>
      </c>
      <c r="K34" s="38" t="s">
        <v>178</v>
      </c>
    </row>
    <row r="35">
      <c r="A35" s="39"/>
      <c r="B35" s="40"/>
      <c r="C35" s="189" t="s">
        <v>179</v>
      </c>
      <c r="D35" s="190" t="s">
        <v>69</v>
      </c>
      <c r="E35" s="191" t="s">
        <v>12</v>
      </c>
      <c r="F35" s="226">
        <v>150.0</v>
      </c>
      <c r="G35" s="227"/>
      <c r="H35" s="194"/>
      <c r="I35" s="215" t="s">
        <v>24</v>
      </c>
      <c r="J35" s="70" t="s">
        <v>36</v>
      </c>
      <c r="K35" s="195" t="s">
        <v>180</v>
      </c>
    </row>
    <row r="36">
      <c r="A36" s="40"/>
      <c r="B36" s="228" t="s">
        <v>181</v>
      </c>
      <c r="C36" s="179" t="s">
        <v>27</v>
      </c>
      <c r="D36" s="51"/>
      <c r="E36" s="51"/>
      <c r="F36" s="51"/>
      <c r="G36" s="51"/>
      <c r="H36" s="52"/>
      <c r="I36" s="166"/>
      <c r="J36" s="88" t="s">
        <v>19</v>
      </c>
      <c r="K36" s="55" t="s">
        <v>182</v>
      </c>
    </row>
    <row r="37" ht="46.5" customHeight="1">
      <c r="A37" s="29" t="s">
        <v>183</v>
      </c>
      <c r="B37" s="71" t="s">
        <v>184</v>
      </c>
      <c r="C37" s="229" t="s">
        <v>185</v>
      </c>
      <c r="D37" s="3"/>
      <c r="E37" s="3"/>
      <c r="F37" s="3"/>
      <c r="G37" s="3"/>
      <c r="H37" s="4"/>
      <c r="I37" s="230"/>
      <c r="J37" s="231"/>
      <c r="K37" s="62" t="s">
        <v>186</v>
      </c>
    </row>
    <row r="38" ht="45.0" customHeight="1">
      <c r="A38" s="39"/>
      <c r="B38" s="164" t="s">
        <v>187</v>
      </c>
      <c r="C38" s="165" t="s">
        <v>27</v>
      </c>
      <c r="D38" s="51"/>
      <c r="E38" s="51"/>
      <c r="F38" s="51"/>
      <c r="G38" s="51"/>
      <c r="H38" s="52"/>
      <c r="I38" s="166"/>
      <c r="J38" s="54"/>
      <c r="K38" s="167" t="s">
        <v>28</v>
      </c>
    </row>
    <row r="39">
      <c r="A39" s="39"/>
      <c r="B39" s="228" t="s">
        <v>188</v>
      </c>
      <c r="C39" s="50" t="s">
        <v>185</v>
      </c>
      <c r="D39" s="51"/>
      <c r="E39" s="51"/>
      <c r="F39" s="51"/>
      <c r="G39" s="51"/>
      <c r="H39" s="52"/>
      <c r="I39" s="166"/>
      <c r="J39" s="232"/>
      <c r="K39" s="55" t="s">
        <v>189</v>
      </c>
    </row>
    <row r="40">
      <c r="A40" s="40"/>
      <c r="B40" s="233" t="s">
        <v>190</v>
      </c>
      <c r="C40" s="173" t="s">
        <v>191</v>
      </c>
      <c r="D40" s="174" t="s">
        <v>192</v>
      </c>
      <c r="E40" s="175" t="s">
        <v>12</v>
      </c>
      <c r="F40" s="176"/>
      <c r="G40" s="176"/>
      <c r="H40" s="177"/>
      <c r="I40" s="166"/>
      <c r="J40" s="88" t="s">
        <v>19</v>
      </c>
      <c r="K40" s="167" t="s">
        <v>193</v>
      </c>
    </row>
    <row r="41" ht="57.75" customHeight="1">
      <c r="A41" s="29" t="s">
        <v>183</v>
      </c>
      <c r="B41" s="181" t="s">
        <v>190</v>
      </c>
      <c r="C41" s="223" t="s">
        <v>194</v>
      </c>
      <c r="D41" s="183" t="s">
        <v>34</v>
      </c>
      <c r="E41" s="184" t="s">
        <v>195</v>
      </c>
      <c r="F41" s="224">
        <v>865.0</v>
      </c>
      <c r="G41" s="185">
        <v>22000.0</v>
      </c>
      <c r="H41" s="186" t="s">
        <v>99</v>
      </c>
      <c r="I41" s="159" t="s">
        <v>18</v>
      </c>
      <c r="J41" s="37" t="s">
        <v>19</v>
      </c>
      <c r="K41" s="188" t="s">
        <v>196</v>
      </c>
    </row>
    <row r="42">
      <c r="A42" s="39"/>
      <c r="B42" s="40"/>
      <c r="C42" s="189" t="s">
        <v>197</v>
      </c>
      <c r="D42" s="190" t="s">
        <v>198</v>
      </c>
      <c r="E42" s="191" t="s">
        <v>12</v>
      </c>
      <c r="F42" s="226">
        <v>3000.0</v>
      </c>
      <c r="G42" s="226"/>
      <c r="H42" s="194" t="s">
        <v>199</v>
      </c>
      <c r="I42" s="215" t="s">
        <v>24</v>
      </c>
      <c r="J42" s="172" t="s">
        <v>112</v>
      </c>
      <c r="K42" s="195" t="s">
        <v>200</v>
      </c>
    </row>
    <row r="43">
      <c r="A43" s="39"/>
      <c r="B43" s="49" t="s">
        <v>201</v>
      </c>
      <c r="C43" s="234" t="s">
        <v>202</v>
      </c>
      <c r="D43" s="232" t="s">
        <v>34</v>
      </c>
      <c r="E43" s="235" t="s">
        <v>203</v>
      </c>
      <c r="F43" s="236">
        <f>300+300</f>
        <v>600</v>
      </c>
      <c r="G43" s="236"/>
      <c r="H43" s="237" t="s">
        <v>204</v>
      </c>
      <c r="I43" s="238" t="s">
        <v>65</v>
      </c>
      <c r="J43" s="88" t="s">
        <v>19</v>
      </c>
      <c r="K43" s="55" t="s">
        <v>205</v>
      </c>
    </row>
    <row r="44">
      <c r="A44" s="39"/>
      <c r="B44" s="164" t="s">
        <v>206</v>
      </c>
      <c r="C44" s="165" t="s">
        <v>27</v>
      </c>
      <c r="D44" s="51"/>
      <c r="E44" s="51"/>
      <c r="F44" s="51"/>
      <c r="G44" s="51"/>
      <c r="H44" s="52"/>
      <c r="I44" s="166"/>
      <c r="J44" s="54"/>
      <c r="K44" s="167" t="s">
        <v>28</v>
      </c>
    </row>
    <row r="45">
      <c r="A45" s="40"/>
      <c r="B45" s="49" t="s">
        <v>207</v>
      </c>
      <c r="C45" s="50" t="s">
        <v>27</v>
      </c>
      <c r="D45" s="51"/>
      <c r="E45" s="51"/>
      <c r="F45" s="51"/>
      <c r="G45" s="51"/>
      <c r="H45" s="52"/>
      <c r="I45" s="166"/>
      <c r="J45" s="54"/>
      <c r="K45" s="55" t="s">
        <v>28</v>
      </c>
    </row>
    <row r="46">
      <c r="A46" s="121"/>
      <c r="B46" s="122"/>
      <c r="C46" s="163"/>
      <c r="D46" s="123"/>
      <c r="E46" s="239"/>
      <c r="F46" s="125"/>
      <c r="G46" s="125"/>
      <c r="H46" s="163"/>
      <c r="I46" s="126"/>
      <c r="J46" s="240"/>
      <c r="K46" s="241"/>
    </row>
    <row r="47">
      <c r="A47" s="121"/>
      <c r="B47" s="122"/>
      <c r="C47" s="163"/>
      <c r="D47" s="123"/>
      <c r="E47" s="239"/>
      <c r="F47" s="125"/>
      <c r="G47" s="125"/>
      <c r="H47" s="163"/>
      <c r="I47" s="126"/>
      <c r="J47" s="240"/>
      <c r="K47" s="242"/>
    </row>
    <row r="48">
      <c r="A48" s="121"/>
      <c r="B48" s="122"/>
      <c r="C48" s="163"/>
      <c r="D48" s="123"/>
      <c r="E48" s="239"/>
      <c r="F48" s="125"/>
      <c r="G48" s="125"/>
      <c r="H48" s="163"/>
      <c r="I48" s="126"/>
      <c r="J48" s="240"/>
      <c r="K48" s="242"/>
    </row>
    <row r="49">
      <c r="A49" s="121"/>
      <c r="B49" s="122"/>
      <c r="C49" s="163"/>
      <c r="D49" s="123"/>
      <c r="E49" s="239"/>
      <c r="F49" s="125"/>
      <c r="G49" s="125"/>
      <c r="H49" s="163"/>
      <c r="I49" s="126"/>
      <c r="J49" s="240"/>
      <c r="K49" s="242"/>
    </row>
    <row r="50">
      <c r="A50" s="121"/>
      <c r="B50" s="122"/>
      <c r="C50" s="163"/>
      <c r="D50" s="123"/>
      <c r="E50" s="239"/>
      <c r="F50" s="125"/>
      <c r="G50" s="125"/>
      <c r="H50" s="163"/>
      <c r="I50" s="126"/>
      <c r="J50" s="240"/>
      <c r="K50" s="242"/>
    </row>
    <row r="51">
      <c r="A51" s="121"/>
      <c r="B51" s="122"/>
      <c r="C51" s="163"/>
      <c r="D51" s="123"/>
      <c r="E51" s="239"/>
      <c r="F51" s="125"/>
      <c r="G51" s="125"/>
      <c r="H51" s="163"/>
      <c r="I51" s="126"/>
      <c r="J51" s="240"/>
      <c r="K51" s="242"/>
    </row>
    <row r="52">
      <c r="A52" s="121"/>
      <c r="B52" s="122"/>
      <c r="C52" s="163"/>
      <c r="D52" s="123"/>
      <c r="E52" s="239"/>
      <c r="F52" s="125"/>
      <c r="G52" s="125"/>
      <c r="H52" s="163"/>
      <c r="I52" s="126"/>
      <c r="J52" s="240"/>
      <c r="K52" s="242"/>
    </row>
    <row r="53">
      <c r="A53" s="121"/>
      <c r="B53" s="122"/>
      <c r="C53" s="163"/>
      <c r="D53" s="123"/>
      <c r="E53" s="239"/>
      <c r="F53" s="125"/>
      <c r="G53" s="125"/>
      <c r="H53" s="163"/>
      <c r="I53" s="126"/>
      <c r="J53" s="240"/>
      <c r="K53" s="242"/>
    </row>
    <row r="54">
      <c r="A54" s="121"/>
      <c r="B54" s="122"/>
      <c r="C54" s="163"/>
      <c r="D54" s="123"/>
      <c r="E54" s="239"/>
      <c r="F54" s="125"/>
      <c r="G54" s="125"/>
      <c r="H54" s="163"/>
      <c r="I54" s="126"/>
      <c r="J54" s="240"/>
      <c r="K54" s="242"/>
    </row>
    <row r="55">
      <c r="A55" s="121"/>
      <c r="B55" s="122"/>
      <c r="C55" s="163"/>
      <c r="D55" s="123"/>
      <c r="E55" s="239"/>
      <c r="F55" s="125"/>
      <c r="G55" s="125"/>
      <c r="H55" s="163"/>
      <c r="I55" s="126"/>
      <c r="J55" s="240"/>
      <c r="K55" s="242"/>
    </row>
    <row r="56">
      <c r="A56" s="121"/>
      <c r="B56" s="122"/>
      <c r="C56" s="163"/>
      <c r="D56" s="123"/>
      <c r="E56" s="239"/>
      <c r="F56" s="125"/>
      <c r="G56" s="125"/>
      <c r="H56" s="163"/>
      <c r="I56" s="126"/>
      <c r="J56" s="240"/>
      <c r="K56" s="242"/>
    </row>
    <row r="57">
      <c r="A57" s="121"/>
      <c r="B57" s="122"/>
      <c r="C57" s="163"/>
      <c r="D57" s="123"/>
      <c r="E57" s="239"/>
      <c r="F57" s="125"/>
      <c r="G57" s="125"/>
      <c r="H57" s="163"/>
      <c r="I57" s="126"/>
      <c r="J57" s="240"/>
      <c r="K57" s="242"/>
    </row>
    <row r="58">
      <c r="A58" s="121"/>
      <c r="B58" s="122"/>
      <c r="C58" s="163"/>
      <c r="D58" s="123"/>
      <c r="E58" s="239"/>
      <c r="F58" s="125"/>
      <c r="G58" s="125"/>
      <c r="H58" s="163"/>
      <c r="I58" s="126"/>
      <c r="J58" s="240"/>
      <c r="K58" s="242"/>
    </row>
    <row r="59">
      <c r="A59" s="121"/>
      <c r="B59" s="122"/>
      <c r="C59" s="163"/>
      <c r="D59" s="123"/>
      <c r="E59" s="239"/>
      <c r="F59" s="125"/>
      <c r="G59" s="125"/>
      <c r="H59" s="163"/>
      <c r="I59" s="126"/>
      <c r="J59" s="240"/>
      <c r="K59" s="242"/>
    </row>
    <row r="60">
      <c r="A60" s="121"/>
      <c r="B60" s="122"/>
      <c r="C60" s="163"/>
      <c r="D60" s="123"/>
      <c r="E60" s="239"/>
      <c r="F60" s="125"/>
      <c r="G60" s="125"/>
      <c r="H60" s="163"/>
      <c r="I60" s="126"/>
      <c r="J60" s="240"/>
      <c r="K60" s="242"/>
    </row>
    <row r="61">
      <c r="A61" s="121"/>
      <c r="B61" s="122"/>
      <c r="C61" s="163"/>
      <c r="D61" s="123"/>
      <c r="E61" s="239"/>
      <c r="F61" s="125"/>
      <c r="G61" s="125"/>
      <c r="H61" s="163"/>
      <c r="I61" s="126"/>
      <c r="J61" s="240"/>
      <c r="K61" s="242"/>
    </row>
    <row r="62">
      <c r="A62" s="121"/>
      <c r="B62" s="122"/>
      <c r="C62" s="163"/>
      <c r="D62" s="123"/>
      <c r="E62" s="239"/>
      <c r="F62" s="125"/>
      <c r="G62" s="125"/>
      <c r="H62" s="163"/>
      <c r="I62" s="126"/>
      <c r="J62" s="240"/>
      <c r="K62" s="242"/>
    </row>
    <row r="63">
      <c r="A63" s="121"/>
      <c r="B63" s="122"/>
      <c r="C63" s="163"/>
      <c r="D63" s="123"/>
      <c r="E63" s="239"/>
      <c r="F63" s="125"/>
      <c r="G63" s="125"/>
      <c r="H63" s="163"/>
      <c r="I63" s="126"/>
      <c r="J63" s="240"/>
      <c r="K63" s="242"/>
    </row>
    <row r="64">
      <c r="A64" s="121"/>
      <c r="B64" s="122"/>
      <c r="C64" s="163"/>
      <c r="D64" s="123"/>
      <c r="E64" s="239"/>
      <c r="F64" s="125"/>
      <c r="G64" s="125"/>
      <c r="H64" s="163"/>
      <c r="I64" s="126"/>
      <c r="J64" s="240"/>
      <c r="K64" s="242"/>
    </row>
    <row r="65">
      <c r="A65" s="121"/>
      <c r="B65" s="122"/>
      <c r="C65" s="163"/>
      <c r="D65" s="123"/>
      <c r="E65" s="239"/>
      <c r="F65" s="125"/>
      <c r="G65" s="125"/>
      <c r="H65" s="163"/>
      <c r="I65" s="126"/>
      <c r="J65" s="240"/>
      <c r="K65" s="242"/>
    </row>
    <row r="66">
      <c r="A66" s="121"/>
      <c r="B66" s="122"/>
      <c r="C66" s="163"/>
      <c r="D66" s="123"/>
      <c r="E66" s="239"/>
      <c r="F66" s="125"/>
      <c r="G66" s="125"/>
      <c r="H66" s="163"/>
      <c r="I66" s="126"/>
      <c r="J66" s="240"/>
      <c r="K66" s="242"/>
    </row>
    <row r="67">
      <c r="A67" s="121"/>
      <c r="B67" s="122"/>
      <c r="C67" s="163"/>
      <c r="D67" s="123"/>
      <c r="E67" s="239"/>
      <c r="F67" s="125"/>
      <c r="G67" s="125"/>
      <c r="H67" s="163"/>
      <c r="I67" s="126"/>
      <c r="J67" s="240"/>
      <c r="K67" s="242"/>
    </row>
    <row r="68">
      <c r="A68" s="121"/>
      <c r="B68" s="122"/>
      <c r="C68" s="163"/>
      <c r="D68" s="123"/>
      <c r="E68" s="239"/>
      <c r="F68" s="125"/>
      <c r="G68" s="125"/>
      <c r="H68" s="163"/>
      <c r="I68" s="126"/>
      <c r="J68" s="240"/>
      <c r="K68" s="242"/>
    </row>
    <row r="69">
      <c r="A69" s="121"/>
      <c r="B69" s="122"/>
      <c r="C69" s="163"/>
      <c r="D69" s="123"/>
      <c r="E69" s="239"/>
      <c r="F69" s="125"/>
      <c r="G69" s="125"/>
      <c r="H69" s="163"/>
      <c r="I69" s="126"/>
      <c r="J69" s="240"/>
      <c r="K69" s="242"/>
    </row>
    <row r="70">
      <c r="A70" s="121"/>
      <c r="B70" s="122"/>
      <c r="C70" s="163"/>
      <c r="D70" s="123"/>
      <c r="E70" s="239"/>
      <c r="F70" s="125"/>
      <c r="G70" s="125"/>
      <c r="H70" s="163"/>
      <c r="I70" s="126"/>
      <c r="J70" s="240"/>
      <c r="K70" s="242"/>
    </row>
    <row r="71">
      <c r="A71" s="121"/>
      <c r="B71" s="122"/>
      <c r="C71" s="163"/>
      <c r="D71" s="123"/>
      <c r="E71" s="239"/>
      <c r="F71" s="125"/>
      <c r="G71" s="125"/>
      <c r="H71" s="163"/>
      <c r="I71" s="126"/>
      <c r="J71" s="240"/>
      <c r="K71" s="242"/>
    </row>
    <row r="72">
      <c r="A72" s="121"/>
      <c r="B72" s="122"/>
      <c r="C72" s="163"/>
      <c r="D72" s="123"/>
      <c r="E72" s="239"/>
      <c r="F72" s="125"/>
      <c r="G72" s="125"/>
      <c r="H72" s="163"/>
      <c r="I72" s="126"/>
      <c r="J72" s="240"/>
      <c r="K72" s="242"/>
    </row>
    <row r="73">
      <c r="A73" s="121"/>
      <c r="B73" s="122"/>
      <c r="C73" s="163"/>
      <c r="D73" s="123"/>
      <c r="E73" s="239"/>
      <c r="F73" s="125"/>
      <c r="G73" s="125"/>
      <c r="H73" s="163"/>
      <c r="I73" s="126"/>
      <c r="J73" s="240"/>
      <c r="K73" s="242"/>
    </row>
    <row r="74">
      <c r="A74" s="121"/>
      <c r="B74" s="122"/>
      <c r="C74" s="163"/>
      <c r="D74" s="123"/>
      <c r="E74" s="239"/>
      <c r="F74" s="125"/>
      <c r="G74" s="125"/>
      <c r="H74" s="163"/>
      <c r="I74" s="126"/>
      <c r="J74" s="240"/>
      <c r="K74" s="242"/>
    </row>
    <row r="75">
      <c r="A75" s="121"/>
      <c r="B75" s="122"/>
      <c r="C75" s="163"/>
      <c r="D75" s="123"/>
      <c r="E75" s="239"/>
      <c r="F75" s="125"/>
      <c r="G75" s="125"/>
      <c r="H75" s="163"/>
      <c r="I75" s="126"/>
      <c r="J75" s="240"/>
      <c r="K75" s="242"/>
    </row>
    <row r="76">
      <c r="A76" s="121"/>
      <c r="B76" s="122"/>
      <c r="C76" s="163"/>
      <c r="D76" s="123"/>
      <c r="E76" s="239"/>
      <c r="F76" s="125"/>
      <c r="G76" s="125"/>
      <c r="H76" s="163"/>
      <c r="I76" s="126"/>
      <c r="J76" s="240"/>
      <c r="K76" s="242"/>
    </row>
    <row r="77">
      <c r="A77" s="121"/>
      <c r="B77" s="122"/>
      <c r="C77" s="163"/>
      <c r="D77" s="123"/>
      <c r="E77" s="239"/>
      <c r="F77" s="125"/>
      <c r="G77" s="125"/>
      <c r="H77" s="163"/>
      <c r="I77" s="126"/>
      <c r="J77" s="240"/>
      <c r="K77" s="242"/>
    </row>
    <row r="78">
      <c r="A78" s="121"/>
      <c r="B78" s="122"/>
      <c r="C78" s="163"/>
      <c r="D78" s="123"/>
      <c r="E78" s="239"/>
      <c r="F78" s="125"/>
      <c r="G78" s="125"/>
      <c r="H78" s="163"/>
      <c r="I78" s="126"/>
      <c r="J78" s="240"/>
      <c r="K78" s="242"/>
    </row>
    <row r="79">
      <c r="A79" s="121"/>
      <c r="B79" s="122"/>
      <c r="C79" s="163"/>
      <c r="D79" s="123"/>
      <c r="E79" s="239"/>
      <c r="F79" s="125"/>
      <c r="G79" s="125"/>
      <c r="H79" s="163"/>
      <c r="I79" s="126"/>
      <c r="J79" s="240"/>
      <c r="K79" s="242"/>
    </row>
    <row r="80">
      <c r="A80" s="121"/>
      <c r="B80" s="122"/>
      <c r="C80" s="163"/>
      <c r="D80" s="123"/>
      <c r="E80" s="239"/>
      <c r="F80" s="125"/>
      <c r="G80" s="125"/>
      <c r="H80" s="163"/>
      <c r="I80" s="126"/>
      <c r="J80" s="240"/>
      <c r="K80" s="242"/>
    </row>
    <row r="81">
      <c r="A81" s="121"/>
      <c r="B81" s="122"/>
      <c r="C81" s="163"/>
      <c r="D81" s="123"/>
      <c r="E81" s="239"/>
      <c r="F81" s="125"/>
      <c r="G81" s="125"/>
      <c r="H81" s="163"/>
      <c r="I81" s="126"/>
      <c r="J81" s="240"/>
      <c r="K81" s="242"/>
    </row>
    <row r="82">
      <c r="A82" s="121"/>
      <c r="B82" s="122"/>
      <c r="C82" s="163"/>
      <c r="D82" s="123"/>
      <c r="E82" s="239"/>
      <c r="F82" s="125"/>
      <c r="G82" s="125"/>
      <c r="H82" s="163"/>
      <c r="I82" s="126"/>
      <c r="J82" s="240"/>
      <c r="K82" s="242"/>
    </row>
    <row r="83">
      <c r="A83" s="121"/>
      <c r="B83" s="122"/>
      <c r="C83" s="163"/>
      <c r="D83" s="123"/>
      <c r="E83" s="239"/>
      <c r="F83" s="125"/>
      <c r="G83" s="125"/>
      <c r="H83" s="163"/>
      <c r="I83" s="126"/>
      <c r="J83" s="240"/>
      <c r="K83" s="242"/>
    </row>
    <row r="84">
      <c r="A84" s="121"/>
      <c r="B84" s="122"/>
      <c r="C84" s="163"/>
      <c r="D84" s="123"/>
      <c r="E84" s="239"/>
      <c r="F84" s="125"/>
      <c r="G84" s="125"/>
      <c r="H84" s="163"/>
      <c r="I84" s="126"/>
      <c r="J84" s="240"/>
      <c r="K84" s="242"/>
    </row>
    <row r="85">
      <c r="A85" s="121"/>
      <c r="B85" s="122"/>
      <c r="C85" s="163"/>
      <c r="D85" s="123"/>
      <c r="E85" s="239"/>
      <c r="F85" s="125"/>
      <c r="G85" s="125"/>
      <c r="H85" s="163"/>
      <c r="I85" s="126"/>
      <c r="J85" s="240"/>
      <c r="K85" s="242"/>
    </row>
    <row r="86">
      <c r="A86" s="121"/>
      <c r="B86" s="122"/>
      <c r="C86" s="163"/>
      <c r="D86" s="123"/>
      <c r="E86" s="239"/>
      <c r="F86" s="125"/>
      <c r="G86" s="125"/>
      <c r="H86" s="163"/>
      <c r="I86" s="126"/>
      <c r="J86" s="240"/>
      <c r="K86" s="242"/>
    </row>
    <row r="87">
      <c r="A87" s="121"/>
      <c r="B87" s="122"/>
      <c r="C87" s="163"/>
      <c r="D87" s="123"/>
      <c r="E87" s="239"/>
      <c r="F87" s="125"/>
      <c r="G87" s="125"/>
      <c r="H87" s="163"/>
      <c r="I87" s="126"/>
      <c r="J87" s="240"/>
      <c r="K87" s="242"/>
    </row>
    <row r="88">
      <c r="A88" s="121"/>
      <c r="B88" s="122"/>
      <c r="C88" s="163"/>
      <c r="D88" s="123"/>
      <c r="E88" s="239"/>
      <c r="F88" s="125"/>
      <c r="G88" s="125"/>
      <c r="H88" s="163"/>
      <c r="I88" s="126"/>
      <c r="J88" s="240"/>
      <c r="K88" s="242"/>
    </row>
    <row r="89">
      <c r="A89" s="121"/>
      <c r="B89" s="122"/>
      <c r="C89" s="163"/>
      <c r="D89" s="123"/>
      <c r="E89" s="239"/>
      <c r="F89" s="125"/>
      <c r="G89" s="125"/>
      <c r="H89" s="163"/>
      <c r="I89" s="126"/>
      <c r="J89" s="240"/>
      <c r="K89" s="242"/>
    </row>
    <row r="90">
      <c r="A90" s="121"/>
      <c r="B90" s="122"/>
      <c r="C90" s="163"/>
      <c r="D90" s="123"/>
      <c r="E90" s="239"/>
      <c r="F90" s="125"/>
      <c r="G90" s="125"/>
      <c r="H90" s="163"/>
      <c r="I90" s="126"/>
      <c r="J90" s="240"/>
      <c r="K90" s="242"/>
    </row>
    <row r="91">
      <c r="A91" s="121"/>
      <c r="B91" s="122"/>
      <c r="C91" s="163"/>
      <c r="D91" s="123"/>
      <c r="E91" s="239"/>
      <c r="F91" s="125"/>
      <c r="G91" s="125"/>
      <c r="H91" s="163"/>
      <c r="I91" s="126"/>
      <c r="J91" s="240"/>
      <c r="K91" s="242"/>
    </row>
    <row r="92">
      <c r="A92" s="121"/>
      <c r="B92" s="122"/>
      <c r="C92" s="163"/>
      <c r="D92" s="123"/>
      <c r="E92" s="239"/>
      <c r="F92" s="125"/>
      <c r="G92" s="125"/>
      <c r="H92" s="163"/>
      <c r="I92" s="126"/>
      <c r="J92" s="240"/>
      <c r="K92" s="242"/>
    </row>
    <row r="93">
      <c r="A93" s="121"/>
      <c r="B93" s="122"/>
      <c r="C93" s="163"/>
      <c r="D93" s="123"/>
      <c r="E93" s="239"/>
      <c r="F93" s="125"/>
      <c r="G93" s="125"/>
      <c r="H93" s="163"/>
      <c r="I93" s="126"/>
      <c r="J93" s="240"/>
      <c r="K93" s="242"/>
    </row>
    <row r="94">
      <c r="A94" s="121"/>
      <c r="B94" s="122"/>
      <c r="C94" s="163"/>
      <c r="D94" s="123"/>
      <c r="E94" s="239"/>
      <c r="F94" s="125"/>
      <c r="G94" s="125"/>
      <c r="H94" s="163"/>
      <c r="I94" s="126"/>
      <c r="J94" s="240"/>
      <c r="K94" s="242"/>
    </row>
    <row r="95">
      <c r="A95" s="121"/>
      <c r="B95" s="122"/>
      <c r="C95" s="163"/>
      <c r="D95" s="123"/>
      <c r="E95" s="239"/>
      <c r="F95" s="125"/>
      <c r="G95" s="125"/>
      <c r="H95" s="163"/>
      <c r="I95" s="126"/>
      <c r="J95" s="240"/>
      <c r="K95" s="242"/>
    </row>
    <row r="96">
      <c r="A96" s="121"/>
      <c r="B96" s="122"/>
      <c r="C96" s="163"/>
      <c r="D96" s="123"/>
      <c r="E96" s="239"/>
      <c r="F96" s="125"/>
      <c r="G96" s="125"/>
      <c r="H96" s="163"/>
      <c r="I96" s="126"/>
      <c r="J96" s="240"/>
      <c r="K96" s="242"/>
    </row>
    <row r="97">
      <c r="A97" s="121"/>
      <c r="B97" s="122"/>
      <c r="C97" s="163"/>
      <c r="D97" s="123"/>
      <c r="E97" s="239"/>
      <c r="F97" s="125"/>
      <c r="G97" s="125"/>
      <c r="H97" s="163"/>
      <c r="I97" s="126"/>
      <c r="J97" s="240"/>
      <c r="K97" s="242"/>
    </row>
    <row r="98">
      <c r="A98" s="121"/>
      <c r="B98" s="122"/>
      <c r="C98" s="163"/>
      <c r="D98" s="123"/>
      <c r="E98" s="239"/>
      <c r="F98" s="125"/>
      <c r="G98" s="125"/>
      <c r="H98" s="163"/>
      <c r="I98" s="126"/>
      <c r="J98" s="240"/>
      <c r="K98" s="242"/>
    </row>
    <row r="99">
      <c r="A99" s="121"/>
      <c r="B99" s="122"/>
      <c r="C99" s="163"/>
      <c r="D99" s="123"/>
      <c r="E99" s="239"/>
      <c r="F99" s="125"/>
      <c r="G99" s="125"/>
      <c r="H99" s="163"/>
      <c r="I99" s="126"/>
      <c r="J99" s="240"/>
      <c r="K99" s="242"/>
    </row>
    <row r="100">
      <c r="A100" s="121"/>
      <c r="B100" s="122"/>
      <c r="C100" s="163"/>
      <c r="D100" s="123"/>
      <c r="E100" s="239"/>
      <c r="F100" s="125"/>
      <c r="G100" s="125"/>
      <c r="H100" s="163"/>
      <c r="I100" s="126"/>
      <c r="J100" s="240"/>
      <c r="K100" s="242"/>
    </row>
    <row r="101">
      <c r="A101" s="121"/>
      <c r="B101" s="122"/>
      <c r="C101" s="163"/>
      <c r="D101" s="123"/>
      <c r="E101" s="239"/>
      <c r="F101" s="125"/>
      <c r="G101" s="125"/>
      <c r="H101" s="163"/>
      <c r="I101" s="126"/>
      <c r="J101" s="240"/>
      <c r="K101" s="242"/>
    </row>
    <row r="102">
      <c r="A102" s="121"/>
      <c r="B102" s="122"/>
      <c r="C102" s="163"/>
      <c r="D102" s="123"/>
      <c r="E102" s="239"/>
      <c r="F102" s="125"/>
      <c r="G102" s="125"/>
      <c r="H102" s="163"/>
      <c r="I102" s="126"/>
      <c r="J102" s="240"/>
      <c r="K102" s="242"/>
    </row>
    <row r="103">
      <c r="A103" s="121"/>
      <c r="B103" s="122"/>
      <c r="C103" s="163"/>
      <c r="D103" s="123"/>
      <c r="E103" s="239"/>
      <c r="F103" s="125"/>
      <c r="G103" s="125"/>
      <c r="H103" s="163"/>
      <c r="I103" s="126"/>
      <c r="J103" s="240"/>
      <c r="K103" s="242"/>
    </row>
    <row r="104">
      <c r="A104" s="121"/>
      <c r="B104" s="122"/>
      <c r="C104" s="163"/>
      <c r="D104" s="123"/>
      <c r="E104" s="239"/>
      <c r="F104" s="125"/>
      <c r="G104" s="125"/>
      <c r="H104" s="163"/>
      <c r="I104" s="126"/>
      <c r="J104" s="240"/>
      <c r="K104" s="242"/>
    </row>
    <row r="105">
      <c r="A105" s="121"/>
      <c r="B105" s="122"/>
      <c r="C105" s="163"/>
      <c r="D105" s="123"/>
      <c r="E105" s="239"/>
      <c r="F105" s="125"/>
      <c r="G105" s="125"/>
      <c r="H105" s="163"/>
      <c r="I105" s="126"/>
      <c r="J105" s="240"/>
      <c r="K105" s="242"/>
    </row>
    <row r="106">
      <c r="A106" s="121"/>
      <c r="B106" s="122"/>
      <c r="C106" s="163"/>
      <c r="D106" s="123"/>
      <c r="E106" s="239"/>
      <c r="F106" s="125"/>
      <c r="G106" s="125"/>
      <c r="H106" s="163"/>
      <c r="I106" s="126"/>
      <c r="J106" s="240"/>
      <c r="K106" s="242"/>
    </row>
    <row r="107">
      <c r="A107" s="121"/>
      <c r="B107" s="122"/>
      <c r="C107" s="163"/>
      <c r="D107" s="123"/>
      <c r="E107" s="239"/>
      <c r="F107" s="125"/>
      <c r="G107" s="125"/>
      <c r="H107" s="163"/>
      <c r="I107" s="126"/>
      <c r="J107" s="240"/>
      <c r="K107" s="242"/>
    </row>
    <row r="108">
      <c r="A108" s="121"/>
      <c r="B108" s="122"/>
      <c r="C108" s="163"/>
      <c r="D108" s="123"/>
      <c r="E108" s="239"/>
      <c r="F108" s="125"/>
      <c r="G108" s="125"/>
      <c r="H108" s="163"/>
      <c r="I108" s="126"/>
      <c r="J108" s="240"/>
      <c r="K108" s="242"/>
    </row>
    <row r="109">
      <c r="A109" s="121"/>
      <c r="B109" s="122"/>
      <c r="C109" s="163"/>
      <c r="D109" s="123"/>
      <c r="E109" s="239"/>
      <c r="F109" s="125"/>
      <c r="G109" s="125"/>
      <c r="H109" s="163"/>
      <c r="I109" s="126"/>
      <c r="J109" s="240"/>
      <c r="K109" s="242"/>
    </row>
    <row r="110">
      <c r="A110" s="121"/>
      <c r="B110" s="122"/>
      <c r="C110" s="163"/>
      <c r="D110" s="123"/>
      <c r="E110" s="239"/>
      <c r="F110" s="125"/>
      <c r="G110" s="125"/>
      <c r="H110" s="163"/>
      <c r="I110" s="126"/>
      <c r="J110" s="240"/>
      <c r="K110" s="242"/>
    </row>
    <row r="111">
      <c r="A111" s="121"/>
      <c r="B111" s="122"/>
      <c r="C111" s="163"/>
      <c r="D111" s="123"/>
      <c r="E111" s="239"/>
      <c r="F111" s="125"/>
      <c r="G111" s="125"/>
      <c r="H111" s="163"/>
      <c r="I111" s="126"/>
      <c r="J111" s="240"/>
      <c r="K111" s="242"/>
    </row>
    <row r="112">
      <c r="A112" s="121"/>
      <c r="B112" s="122"/>
      <c r="C112" s="163"/>
      <c r="D112" s="123"/>
      <c r="E112" s="239"/>
      <c r="F112" s="125"/>
      <c r="G112" s="125"/>
      <c r="H112" s="163"/>
      <c r="I112" s="126"/>
      <c r="J112" s="240"/>
      <c r="K112" s="242"/>
    </row>
    <row r="113">
      <c r="A113" s="121"/>
      <c r="B113" s="122"/>
      <c r="C113" s="163"/>
      <c r="D113" s="123"/>
      <c r="E113" s="239"/>
      <c r="F113" s="125"/>
      <c r="G113" s="125"/>
      <c r="H113" s="163"/>
      <c r="I113" s="126"/>
      <c r="J113" s="240"/>
      <c r="K113" s="242"/>
    </row>
    <row r="114">
      <c r="A114" s="121"/>
      <c r="B114" s="122"/>
      <c r="C114" s="163"/>
      <c r="D114" s="123"/>
      <c r="E114" s="239"/>
      <c r="F114" s="125"/>
      <c r="G114" s="125"/>
      <c r="H114" s="163"/>
      <c r="I114" s="126"/>
      <c r="J114" s="240"/>
      <c r="K114" s="242"/>
    </row>
    <row r="115">
      <c r="A115" s="121"/>
      <c r="B115" s="122"/>
      <c r="C115" s="163"/>
      <c r="D115" s="123"/>
      <c r="E115" s="239"/>
      <c r="F115" s="125"/>
      <c r="G115" s="125"/>
      <c r="H115" s="163"/>
      <c r="I115" s="126"/>
      <c r="J115" s="240"/>
      <c r="K115" s="242"/>
    </row>
    <row r="116">
      <c r="A116" s="121"/>
      <c r="B116" s="122"/>
      <c r="C116" s="163"/>
      <c r="D116" s="123"/>
      <c r="E116" s="239"/>
      <c r="F116" s="125"/>
      <c r="G116" s="125"/>
      <c r="H116" s="163"/>
      <c r="I116" s="126"/>
      <c r="J116" s="240"/>
      <c r="K116" s="242"/>
    </row>
    <row r="117">
      <c r="A117" s="121"/>
      <c r="B117" s="122"/>
      <c r="C117" s="163"/>
      <c r="D117" s="123"/>
      <c r="E117" s="239"/>
      <c r="F117" s="125"/>
      <c r="G117" s="125"/>
      <c r="H117" s="163"/>
      <c r="I117" s="126"/>
      <c r="J117" s="240"/>
      <c r="K117" s="242"/>
    </row>
    <row r="118">
      <c r="A118" s="121"/>
      <c r="B118" s="122"/>
      <c r="C118" s="163"/>
      <c r="D118" s="123"/>
      <c r="E118" s="239"/>
      <c r="F118" s="125"/>
      <c r="G118" s="125"/>
      <c r="H118" s="163"/>
      <c r="I118" s="126"/>
      <c r="J118" s="240"/>
      <c r="K118" s="242"/>
    </row>
    <row r="119">
      <c r="A119" s="121"/>
      <c r="B119" s="122"/>
      <c r="C119" s="163"/>
      <c r="D119" s="123"/>
      <c r="E119" s="239"/>
      <c r="F119" s="125"/>
      <c r="G119" s="125"/>
      <c r="H119" s="163"/>
      <c r="I119" s="126"/>
      <c r="J119" s="240"/>
      <c r="K119" s="242"/>
    </row>
    <row r="120">
      <c r="A120" s="121"/>
      <c r="B120" s="122"/>
      <c r="C120" s="163"/>
      <c r="D120" s="123"/>
      <c r="E120" s="239"/>
      <c r="F120" s="125"/>
      <c r="G120" s="125"/>
      <c r="H120" s="163"/>
      <c r="I120" s="126"/>
      <c r="J120" s="240"/>
      <c r="K120" s="242"/>
    </row>
    <row r="121">
      <c r="A121" s="121"/>
      <c r="B121" s="122"/>
      <c r="C121" s="163"/>
      <c r="D121" s="123"/>
      <c r="E121" s="239"/>
      <c r="F121" s="125"/>
      <c r="G121" s="125"/>
      <c r="H121" s="163"/>
      <c r="I121" s="126"/>
      <c r="J121" s="240"/>
      <c r="K121" s="242"/>
    </row>
    <row r="122">
      <c r="A122" s="121"/>
      <c r="B122" s="122"/>
      <c r="C122" s="163"/>
      <c r="D122" s="123"/>
      <c r="E122" s="239"/>
      <c r="F122" s="125"/>
      <c r="G122" s="125"/>
      <c r="H122" s="163"/>
      <c r="I122" s="126"/>
      <c r="J122" s="240"/>
      <c r="K122" s="242"/>
    </row>
    <row r="123">
      <c r="A123" s="121"/>
      <c r="B123" s="122"/>
      <c r="C123" s="163"/>
      <c r="D123" s="123"/>
      <c r="E123" s="239"/>
      <c r="F123" s="125"/>
      <c r="G123" s="125"/>
      <c r="H123" s="163"/>
      <c r="I123" s="126"/>
      <c r="J123" s="240"/>
      <c r="K123" s="242"/>
    </row>
    <row r="124">
      <c r="A124" s="121"/>
      <c r="B124" s="122"/>
      <c r="C124" s="163"/>
      <c r="D124" s="123"/>
      <c r="E124" s="239"/>
      <c r="F124" s="125"/>
      <c r="G124" s="125"/>
      <c r="H124" s="163"/>
      <c r="I124" s="126"/>
      <c r="J124" s="240"/>
      <c r="K124" s="242"/>
    </row>
    <row r="125">
      <c r="A125" s="121"/>
      <c r="B125" s="122"/>
      <c r="C125" s="163"/>
      <c r="D125" s="123"/>
      <c r="E125" s="239"/>
      <c r="F125" s="125"/>
      <c r="G125" s="125"/>
      <c r="H125" s="163"/>
      <c r="I125" s="126"/>
      <c r="J125" s="240"/>
      <c r="K125" s="242"/>
    </row>
    <row r="126">
      <c r="A126" s="121"/>
      <c r="B126" s="122"/>
      <c r="C126" s="163"/>
      <c r="D126" s="123"/>
      <c r="E126" s="239"/>
      <c r="F126" s="125"/>
      <c r="G126" s="125"/>
      <c r="H126" s="163"/>
      <c r="I126" s="126"/>
      <c r="J126" s="240"/>
      <c r="K126" s="242"/>
    </row>
    <row r="127">
      <c r="A127" s="121"/>
      <c r="B127" s="122"/>
      <c r="C127" s="163"/>
      <c r="D127" s="123"/>
      <c r="E127" s="239"/>
      <c r="F127" s="125"/>
      <c r="G127" s="125"/>
      <c r="H127" s="163"/>
      <c r="I127" s="126"/>
      <c r="J127" s="240"/>
      <c r="K127" s="242"/>
    </row>
    <row r="128">
      <c r="A128" s="121"/>
      <c r="B128" s="122"/>
      <c r="C128" s="163"/>
      <c r="D128" s="123"/>
      <c r="E128" s="239"/>
      <c r="F128" s="125"/>
      <c r="G128" s="125"/>
      <c r="H128" s="163"/>
      <c r="I128" s="126"/>
      <c r="J128" s="240"/>
      <c r="K128" s="242"/>
    </row>
    <row r="129">
      <c r="A129" s="121"/>
      <c r="B129" s="122"/>
      <c r="C129" s="163"/>
      <c r="D129" s="123"/>
      <c r="E129" s="239"/>
      <c r="F129" s="125"/>
      <c r="G129" s="125"/>
      <c r="H129" s="163"/>
      <c r="I129" s="126"/>
      <c r="J129" s="240"/>
      <c r="K129" s="242"/>
    </row>
    <row r="130">
      <c r="A130" s="121"/>
      <c r="B130" s="122"/>
      <c r="C130" s="163"/>
      <c r="D130" s="123"/>
      <c r="E130" s="239"/>
      <c r="F130" s="125"/>
      <c r="G130" s="125"/>
      <c r="H130" s="163"/>
      <c r="I130" s="126"/>
      <c r="J130" s="240"/>
      <c r="K130" s="242"/>
    </row>
    <row r="131">
      <c r="A131" s="121"/>
      <c r="B131" s="122"/>
      <c r="C131" s="163"/>
      <c r="D131" s="123"/>
      <c r="E131" s="239"/>
      <c r="F131" s="125"/>
      <c r="G131" s="125"/>
      <c r="H131" s="163"/>
      <c r="I131" s="126"/>
      <c r="J131" s="240"/>
      <c r="K131" s="242"/>
    </row>
    <row r="132">
      <c r="A132" s="121"/>
      <c r="B132" s="122"/>
      <c r="C132" s="163"/>
      <c r="D132" s="123"/>
      <c r="E132" s="239"/>
      <c r="F132" s="125"/>
      <c r="G132" s="125"/>
      <c r="H132" s="163"/>
      <c r="I132" s="126"/>
      <c r="J132" s="240"/>
      <c r="K132" s="242"/>
    </row>
    <row r="133">
      <c r="A133" s="121"/>
      <c r="B133" s="122"/>
      <c r="C133" s="163"/>
      <c r="D133" s="123"/>
      <c r="E133" s="239"/>
      <c r="F133" s="125"/>
      <c r="G133" s="125"/>
      <c r="H133" s="163"/>
      <c r="I133" s="126"/>
      <c r="J133" s="240"/>
      <c r="K133" s="242"/>
    </row>
    <row r="134">
      <c r="A134" s="121"/>
      <c r="B134" s="122"/>
      <c r="C134" s="163"/>
      <c r="D134" s="123"/>
      <c r="E134" s="239"/>
      <c r="F134" s="125"/>
      <c r="G134" s="125"/>
      <c r="H134" s="163"/>
      <c r="I134" s="126"/>
      <c r="J134" s="240"/>
      <c r="K134" s="242"/>
    </row>
    <row r="135">
      <c r="A135" s="121"/>
      <c r="B135" s="122"/>
      <c r="C135" s="163"/>
      <c r="D135" s="123"/>
      <c r="E135" s="239"/>
      <c r="F135" s="125"/>
      <c r="G135" s="125"/>
      <c r="H135" s="163"/>
      <c r="I135" s="126"/>
      <c r="J135" s="240"/>
      <c r="K135" s="242"/>
    </row>
    <row r="136">
      <c r="A136" s="121"/>
      <c r="B136" s="122"/>
      <c r="C136" s="163"/>
      <c r="D136" s="123"/>
      <c r="E136" s="239"/>
      <c r="F136" s="125"/>
      <c r="G136" s="125"/>
      <c r="H136" s="163"/>
      <c r="I136" s="126"/>
      <c r="J136" s="240"/>
      <c r="K136" s="242"/>
    </row>
    <row r="137">
      <c r="A137" s="121"/>
      <c r="B137" s="122"/>
      <c r="C137" s="163"/>
      <c r="D137" s="123"/>
      <c r="E137" s="239"/>
      <c r="F137" s="125"/>
      <c r="G137" s="125"/>
      <c r="H137" s="163"/>
      <c r="I137" s="126"/>
      <c r="J137" s="240"/>
      <c r="K137" s="242"/>
    </row>
    <row r="138">
      <c r="A138" s="121"/>
      <c r="B138" s="122"/>
      <c r="C138" s="163"/>
      <c r="D138" s="123"/>
      <c r="E138" s="239"/>
      <c r="F138" s="125"/>
      <c r="G138" s="125"/>
      <c r="H138" s="163"/>
      <c r="I138" s="126"/>
      <c r="J138" s="240"/>
      <c r="K138" s="242"/>
    </row>
    <row r="139">
      <c r="A139" s="121"/>
      <c r="B139" s="122"/>
      <c r="C139" s="163"/>
      <c r="D139" s="123"/>
      <c r="E139" s="239"/>
      <c r="F139" s="125"/>
      <c r="G139" s="125"/>
      <c r="H139" s="163"/>
      <c r="I139" s="126"/>
      <c r="J139" s="240"/>
      <c r="K139" s="242"/>
    </row>
    <row r="140">
      <c r="A140" s="121"/>
      <c r="B140" s="122"/>
      <c r="C140" s="163"/>
      <c r="D140" s="123"/>
      <c r="E140" s="239"/>
      <c r="F140" s="125"/>
      <c r="G140" s="125"/>
      <c r="H140" s="163"/>
      <c r="I140" s="126"/>
      <c r="J140" s="240"/>
      <c r="K140" s="242"/>
    </row>
    <row r="141">
      <c r="A141" s="121"/>
      <c r="B141" s="122"/>
      <c r="C141" s="163"/>
      <c r="D141" s="123"/>
      <c r="E141" s="239"/>
      <c r="F141" s="125"/>
      <c r="G141" s="125"/>
      <c r="H141" s="163"/>
      <c r="I141" s="126"/>
      <c r="J141" s="240"/>
      <c r="K141" s="242"/>
    </row>
    <row r="142">
      <c r="A142" s="121"/>
      <c r="B142" s="122"/>
      <c r="C142" s="163"/>
      <c r="D142" s="123"/>
      <c r="E142" s="239"/>
      <c r="F142" s="125"/>
      <c r="G142" s="125"/>
      <c r="H142" s="163"/>
      <c r="I142" s="126"/>
      <c r="J142" s="240"/>
      <c r="K142" s="242"/>
    </row>
    <row r="143">
      <c r="A143" s="121"/>
      <c r="B143" s="122"/>
      <c r="C143" s="163"/>
      <c r="D143" s="123"/>
      <c r="E143" s="239"/>
      <c r="F143" s="125"/>
      <c r="G143" s="125"/>
      <c r="H143" s="163"/>
      <c r="I143" s="126"/>
      <c r="J143" s="240"/>
      <c r="K143" s="242"/>
    </row>
    <row r="144">
      <c r="A144" s="121"/>
      <c r="B144" s="122"/>
      <c r="C144" s="163"/>
      <c r="D144" s="123"/>
      <c r="E144" s="239"/>
      <c r="F144" s="125"/>
      <c r="G144" s="125"/>
      <c r="H144" s="163"/>
      <c r="I144" s="126"/>
      <c r="J144" s="240"/>
      <c r="K144" s="242"/>
    </row>
    <row r="145">
      <c r="A145" s="121"/>
      <c r="B145" s="122"/>
      <c r="C145" s="163"/>
      <c r="D145" s="123"/>
      <c r="E145" s="239"/>
      <c r="F145" s="125"/>
      <c r="G145" s="125"/>
      <c r="H145" s="163"/>
      <c r="I145" s="126"/>
      <c r="J145" s="240"/>
      <c r="K145" s="242"/>
    </row>
    <row r="146">
      <c r="A146" s="121"/>
      <c r="B146" s="122"/>
      <c r="C146" s="163"/>
      <c r="D146" s="123"/>
      <c r="E146" s="239"/>
      <c r="F146" s="125"/>
      <c r="G146" s="125"/>
      <c r="H146" s="163"/>
      <c r="I146" s="126"/>
      <c r="J146" s="240"/>
      <c r="K146" s="242"/>
    </row>
    <row r="147">
      <c r="A147" s="121"/>
      <c r="B147" s="122"/>
      <c r="C147" s="163"/>
      <c r="D147" s="123"/>
      <c r="E147" s="239"/>
      <c r="F147" s="125"/>
      <c r="G147" s="125"/>
      <c r="H147" s="163"/>
      <c r="I147" s="126"/>
      <c r="J147" s="240"/>
      <c r="K147" s="242"/>
    </row>
    <row r="148">
      <c r="A148" s="121"/>
      <c r="B148" s="122"/>
      <c r="C148" s="163"/>
      <c r="D148" s="123"/>
      <c r="E148" s="239"/>
      <c r="F148" s="125"/>
      <c r="G148" s="125"/>
      <c r="H148" s="163"/>
      <c r="I148" s="126"/>
      <c r="J148" s="240"/>
      <c r="K148" s="242"/>
    </row>
    <row r="149">
      <c r="A149" s="121"/>
      <c r="B149" s="122"/>
      <c r="C149" s="163"/>
      <c r="D149" s="123"/>
      <c r="E149" s="239"/>
      <c r="F149" s="125"/>
      <c r="G149" s="125"/>
      <c r="H149" s="163"/>
      <c r="I149" s="126"/>
      <c r="J149" s="240"/>
      <c r="K149" s="242"/>
    </row>
    <row r="150">
      <c r="A150" s="121"/>
      <c r="B150" s="122"/>
      <c r="C150" s="163"/>
      <c r="D150" s="123"/>
      <c r="E150" s="239"/>
      <c r="F150" s="125"/>
      <c r="G150" s="125"/>
      <c r="H150" s="163"/>
      <c r="I150" s="126"/>
      <c r="J150" s="240"/>
      <c r="K150" s="242"/>
    </row>
    <row r="151">
      <c r="A151" s="121"/>
      <c r="B151" s="122"/>
      <c r="C151" s="163"/>
      <c r="D151" s="123"/>
      <c r="E151" s="239"/>
      <c r="F151" s="125"/>
      <c r="G151" s="125"/>
      <c r="H151" s="163"/>
      <c r="I151" s="126"/>
      <c r="J151" s="240"/>
      <c r="K151" s="242"/>
    </row>
    <row r="152">
      <c r="A152" s="121"/>
      <c r="B152" s="122"/>
      <c r="C152" s="163"/>
      <c r="D152" s="123"/>
      <c r="E152" s="239"/>
      <c r="F152" s="125"/>
      <c r="G152" s="125"/>
      <c r="H152" s="163"/>
      <c r="I152" s="126"/>
      <c r="J152" s="240"/>
      <c r="K152" s="242"/>
    </row>
    <row r="153">
      <c r="A153" s="121"/>
      <c r="B153" s="122"/>
      <c r="C153" s="163"/>
      <c r="D153" s="123"/>
      <c r="E153" s="239"/>
      <c r="F153" s="125"/>
      <c r="G153" s="125"/>
      <c r="H153" s="163"/>
      <c r="I153" s="126"/>
      <c r="J153" s="240"/>
      <c r="K153" s="242"/>
    </row>
    <row r="154">
      <c r="A154" s="121"/>
      <c r="B154" s="122"/>
      <c r="C154" s="163"/>
      <c r="D154" s="123"/>
      <c r="E154" s="239"/>
      <c r="F154" s="125"/>
      <c r="G154" s="125"/>
      <c r="H154" s="163"/>
      <c r="I154" s="126"/>
      <c r="J154" s="240"/>
      <c r="K154" s="242"/>
    </row>
    <row r="155">
      <c r="A155" s="121"/>
      <c r="B155" s="122"/>
      <c r="C155" s="163"/>
      <c r="D155" s="123"/>
      <c r="E155" s="239"/>
      <c r="F155" s="125"/>
      <c r="G155" s="125"/>
      <c r="H155" s="163"/>
      <c r="I155" s="126"/>
      <c r="J155" s="240"/>
      <c r="K155" s="242"/>
    </row>
    <row r="156">
      <c r="A156" s="121"/>
      <c r="B156" s="122"/>
      <c r="C156" s="163"/>
      <c r="D156" s="123"/>
      <c r="E156" s="239"/>
      <c r="F156" s="125"/>
      <c r="G156" s="125"/>
      <c r="H156" s="163"/>
      <c r="I156" s="126"/>
      <c r="J156" s="240"/>
      <c r="K156" s="242"/>
    </row>
    <row r="157">
      <c r="A157" s="121"/>
      <c r="B157" s="122"/>
      <c r="C157" s="163"/>
      <c r="D157" s="123"/>
      <c r="E157" s="239"/>
      <c r="F157" s="125"/>
      <c r="G157" s="125"/>
      <c r="H157" s="163"/>
      <c r="I157" s="126"/>
      <c r="J157" s="240"/>
      <c r="K157" s="242"/>
    </row>
    <row r="158">
      <c r="A158" s="121"/>
      <c r="B158" s="122"/>
      <c r="C158" s="163"/>
      <c r="D158" s="123"/>
      <c r="E158" s="239"/>
      <c r="F158" s="125"/>
      <c r="G158" s="125"/>
      <c r="H158" s="163"/>
      <c r="I158" s="126"/>
      <c r="J158" s="240"/>
      <c r="K158" s="242"/>
    </row>
    <row r="159">
      <c r="A159" s="121"/>
      <c r="B159" s="122"/>
      <c r="C159" s="163"/>
      <c r="D159" s="123"/>
      <c r="E159" s="239"/>
      <c r="F159" s="125"/>
      <c r="G159" s="125"/>
      <c r="H159" s="163"/>
      <c r="I159" s="126"/>
      <c r="J159" s="240"/>
      <c r="K159" s="242"/>
    </row>
    <row r="160">
      <c r="A160" s="121"/>
      <c r="B160" s="122"/>
      <c r="C160" s="163"/>
      <c r="D160" s="123"/>
      <c r="E160" s="239"/>
      <c r="F160" s="125"/>
      <c r="G160" s="125"/>
      <c r="H160" s="163"/>
      <c r="I160" s="126"/>
      <c r="J160" s="240"/>
      <c r="K160" s="242"/>
    </row>
    <row r="161">
      <c r="A161" s="121"/>
      <c r="B161" s="122"/>
      <c r="C161" s="163"/>
      <c r="D161" s="123"/>
      <c r="E161" s="239"/>
      <c r="F161" s="125"/>
      <c r="G161" s="125"/>
      <c r="H161" s="163"/>
      <c r="I161" s="126"/>
      <c r="J161" s="240"/>
      <c r="K161" s="242"/>
    </row>
    <row r="162">
      <c r="A162" s="121"/>
      <c r="B162" s="122"/>
      <c r="C162" s="163"/>
      <c r="D162" s="123"/>
      <c r="E162" s="239"/>
      <c r="F162" s="125"/>
      <c r="G162" s="125"/>
      <c r="H162" s="163"/>
      <c r="I162" s="126"/>
      <c r="J162" s="240"/>
      <c r="K162" s="242"/>
    </row>
    <row r="163">
      <c r="A163" s="121"/>
      <c r="B163" s="122"/>
      <c r="C163" s="163"/>
      <c r="D163" s="123"/>
      <c r="E163" s="239"/>
      <c r="F163" s="125"/>
      <c r="G163" s="125"/>
      <c r="H163" s="163"/>
      <c r="I163" s="126"/>
      <c r="J163" s="240"/>
      <c r="K163" s="242"/>
    </row>
    <row r="164">
      <c r="A164" s="121"/>
      <c r="B164" s="122"/>
      <c r="C164" s="163"/>
      <c r="D164" s="123"/>
      <c r="E164" s="239"/>
      <c r="F164" s="125"/>
      <c r="G164" s="125"/>
      <c r="H164" s="163"/>
      <c r="I164" s="126"/>
      <c r="J164" s="240"/>
      <c r="K164" s="242"/>
    </row>
    <row r="165">
      <c r="A165" s="121"/>
      <c r="B165" s="122"/>
      <c r="C165" s="163"/>
      <c r="D165" s="123"/>
      <c r="E165" s="239"/>
      <c r="F165" s="125"/>
      <c r="G165" s="125"/>
      <c r="H165" s="163"/>
      <c r="I165" s="126"/>
      <c r="J165" s="240"/>
      <c r="K165" s="242"/>
    </row>
    <row r="166">
      <c r="A166" s="121"/>
      <c r="B166" s="122"/>
      <c r="C166" s="163"/>
      <c r="D166" s="123"/>
      <c r="E166" s="239"/>
      <c r="F166" s="125"/>
      <c r="G166" s="125"/>
      <c r="H166" s="163"/>
      <c r="I166" s="126"/>
      <c r="J166" s="240"/>
      <c r="K166" s="242"/>
    </row>
    <row r="167">
      <c r="A167" s="121"/>
      <c r="B167" s="122"/>
      <c r="C167" s="163"/>
      <c r="D167" s="123"/>
      <c r="E167" s="239"/>
      <c r="F167" s="125"/>
      <c r="G167" s="125"/>
      <c r="H167" s="163"/>
      <c r="I167" s="126"/>
      <c r="J167" s="240"/>
      <c r="K167" s="242"/>
    </row>
    <row r="168">
      <c r="A168" s="121"/>
      <c r="B168" s="122"/>
      <c r="C168" s="163"/>
      <c r="D168" s="123"/>
      <c r="E168" s="239"/>
      <c r="F168" s="125"/>
      <c r="G168" s="125"/>
      <c r="H168" s="163"/>
      <c r="I168" s="126"/>
      <c r="J168" s="240"/>
      <c r="K168" s="242"/>
    </row>
    <row r="169">
      <c r="A169" s="121"/>
      <c r="B169" s="122"/>
      <c r="C169" s="163"/>
      <c r="D169" s="123"/>
      <c r="E169" s="239"/>
      <c r="F169" s="125"/>
      <c r="G169" s="125"/>
      <c r="H169" s="163"/>
      <c r="I169" s="126"/>
      <c r="J169" s="240"/>
      <c r="K169" s="242"/>
    </row>
    <row r="170">
      <c r="A170" s="121"/>
      <c r="B170" s="122"/>
      <c r="C170" s="163"/>
      <c r="D170" s="123"/>
      <c r="E170" s="239"/>
      <c r="F170" s="125"/>
      <c r="G170" s="125"/>
      <c r="H170" s="163"/>
      <c r="I170" s="126"/>
      <c r="J170" s="240"/>
      <c r="K170" s="242"/>
    </row>
    <row r="171">
      <c r="A171" s="121"/>
      <c r="B171" s="122"/>
      <c r="C171" s="163"/>
      <c r="D171" s="123"/>
      <c r="E171" s="239"/>
      <c r="F171" s="125"/>
      <c r="G171" s="125"/>
      <c r="H171" s="163"/>
      <c r="I171" s="126"/>
      <c r="J171" s="240"/>
      <c r="K171" s="242"/>
    </row>
    <row r="172">
      <c r="A172" s="121"/>
      <c r="B172" s="122"/>
      <c r="C172" s="163"/>
      <c r="D172" s="123"/>
      <c r="E172" s="239"/>
      <c r="F172" s="125"/>
      <c r="G172" s="125"/>
      <c r="H172" s="163"/>
      <c r="I172" s="126"/>
      <c r="J172" s="240"/>
      <c r="K172" s="242"/>
    </row>
    <row r="173">
      <c r="A173" s="121"/>
      <c r="B173" s="122"/>
      <c r="C173" s="163"/>
      <c r="D173" s="123"/>
      <c r="E173" s="239"/>
      <c r="F173" s="125"/>
      <c r="G173" s="125"/>
      <c r="H173" s="163"/>
      <c r="I173" s="126"/>
      <c r="J173" s="240"/>
      <c r="K173" s="242"/>
    </row>
    <row r="174">
      <c r="A174" s="121"/>
      <c r="B174" s="122"/>
      <c r="C174" s="163"/>
      <c r="D174" s="123"/>
      <c r="E174" s="239"/>
      <c r="F174" s="125"/>
      <c r="G174" s="125"/>
      <c r="H174" s="163"/>
      <c r="I174" s="126"/>
      <c r="J174" s="240"/>
      <c r="K174" s="242"/>
    </row>
    <row r="175">
      <c r="A175" s="121"/>
      <c r="B175" s="122"/>
      <c r="C175" s="163"/>
      <c r="D175" s="123"/>
      <c r="E175" s="239"/>
      <c r="F175" s="125"/>
      <c r="G175" s="125"/>
      <c r="H175" s="163"/>
      <c r="I175" s="126"/>
      <c r="J175" s="240"/>
      <c r="K175" s="242"/>
    </row>
    <row r="176">
      <c r="A176" s="121"/>
      <c r="B176" s="122"/>
      <c r="C176" s="163"/>
      <c r="D176" s="123"/>
      <c r="E176" s="239"/>
      <c r="F176" s="125"/>
      <c r="G176" s="125"/>
      <c r="H176" s="163"/>
      <c r="I176" s="126"/>
      <c r="J176" s="240"/>
      <c r="K176" s="242"/>
    </row>
    <row r="177">
      <c r="A177" s="121"/>
      <c r="B177" s="122"/>
      <c r="C177" s="163"/>
      <c r="D177" s="123"/>
      <c r="E177" s="239"/>
      <c r="F177" s="125"/>
      <c r="G177" s="125"/>
      <c r="H177" s="163"/>
      <c r="I177" s="126"/>
      <c r="J177" s="240"/>
      <c r="K177" s="242"/>
    </row>
    <row r="178">
      <c r="A178" s="121"/>
      <c r="B178" s="122"/>
      <c r="C178" s="163"/>
      <c r="D178" s="123"/>
      <c r="E178" s="239"/>
      <c r="F178" s="125"/>
      <c r="G178" s="125"/>
      <c r="H178" s="163"/>
      <c r="I178" s="126"/>
      <c r="J178" s="240"/>
      <c r="K178" s="242"/>
    </row>
    <row r="179">
      <c r="A179" s="121"/>
      <c r="B179" s="122"/>
      <c r="C179" s="163"/>
      <c r="D179" s="123"/>
      <c r="E179" s="239"/>
      <c r="F179" s="125"/>
      <c r="G179" s="125"/>
      <c r="H179" s="163"/>
      <c r="I179" s="126"/>
      <c r="J179" s="240"/>
      <c r="K179" s="242"/>
    </row>
    <row r="180">
      <c r="A180" s="121"/>
      <c r="B180" s="122"/>
      <c r="C180" s="163"/>
      <c r="D180" s="123"/>
      <c r="E180" s="239"/>
      <c r="F180" s="125"/>
      <c r="G180" s="125"/>
      <c r="H180" s="163"/>
      <c r="I180" s="126"/>
      <c r="J180" s="240"/>
      <c r="K180" s="242"/>
    </row>
    <row r="181">
      <c r="A181" s="121"/>
      <c r="B181" s="122"/>
      <c r="C181" s="163"/>
      <c r="D181" s="123"/>
      <c r="E181" s="239"/>
      <c r="F181" s="125"/>
      <c r="G181" s="125"/>
      <c r="H181" s="163"/>
      <c r="I181" s="126"/>
      <c r="J181" s="240"/>
      <c r="K181" s="242"/>
    </row>
    <row r="182">
      <c r="A182" s="121"/>
      <c r="B182" s="122"/>
      <c r="C182" s="163"/>
      <c r="D182" s="123"/>
      <c r="E182" s="239"/>
      <c r="F182" s="125"/>
      <c r="G182" s="125"/>
      <c r="H182" s="163"/>
      <c r="I182" s="126"/>
      <c r="J182" s="240"/>
      <c r="K182" s="242"/>
    </row>
    <row r="183">
      <c r="A183" s="121"/>
      <c r="B183" s="122"/>
      <c r="C183" s="163"/>
      <c r="D183" s="123"/>
      <c r="E183" s="239"/>
      <c r="F183" s="125"/>
      <c r="G183" s="125"/>
      <c r="H183" s="163"/>
      <c r="I183" s="126"/>
      <c r="J183" s="240"/>
      <c r="K183" s="242"/>
    </row>
    <row r="184">
      <c r="A184" s="121"/>
      <c r="B184" s="122"/>
      <c r="C184" s="163"/>
      <c r="D184" s="123"/>
      <c r="E184" s="239"/>
      <c r="F184" s="125"/>
      <c r="G184" s="125"/>
      <c r="H184" s="163"/>
      <c r="I184" s="126"/>
      <c r="J184" s="240"/>
      <c r="K184" s="242"/>
    </row>
    <row r="185">
      <c r="A185" s="121"/>
      <c r="B185" s="122"/>
      <c r="C185" s="163"/>
      <c r="D185" s="123"/>
      <c r="E185" s="239"/>
      <c r="F185" s="125"/>
      <c r="G185" s="125"/>
      <c r="H185" s="163"/>
      <c r="I185" s="126"/>
      <c r="J185" s="240"/>
      <c r="K185" s="242"/>
    </row>
    <row r="186">
      <c r="A186" s="121"/>
      <c r="B186" s="122"/>
      <c r="C186" s="163"/>
      <c r="D186" s="123"/>
      <c r="E186" s="239"/>
      <c r="F186" s="125"/>
      <c r="G186" s="125"/>
      <c r="H186" s="163"/>
      <c r="I186" s="126"/>
      <c r="J186" s="240"/>
      <c r="K186" s="242"/>
    </row>
    <row r="187">
      <c r="A187" s="121"/>
      <c r="B187" s="122"/>
      <c r="C187" s="163"/>
      <c r="D187" s="123"/>
      <c r="E187" s="239"/>
      <c r="F187" s="125"/>
      <c r="G187" s="125"/>
      <c r="H187" s="163"/>
      <c r="I187" s="126"/>
      <c r="J187" s="240"/>
      <c r="K187" s="242"/>
    </row>
    <row r="188">
      <c r="A188" s="121"/>
      <c r="B188" s="122"/>
      <c r="C188" s="163"/>
      <c r="D188" s="123"/>
      <c r="E188" s="239"/>
      <c r="F188" s="125"/>
      <c r="G188" s="125"/>
      <c r="H188" s="163"/>
      <c r="I188" s="126"/>
      <c r="J188" s="240"/>
      <c r="K188" s="242"/>
    </row>
    <row r="189">
      <c r="A189" s="121"/>
      <c r="B189" s="122"/>
      <c r="C189" s="163"/>
      <c r="D189" s="123"/>
      <c r="E189" s="239"/>
      <c r="F189" s="125"/>
      <c r="G189" s="125"/>
      <c r="H189" s="163"/>
      <c r="I189" s="126"/>
      <c r="J189" s="240"/>
      <c r="K189" s="242"/>
    </row>
    <row r="190">
      <c r="A190" s="121"/>
      <c r="B190" s="122"/>
      <c r="C190" s="163"/>
      <c r="D190" s="123"/>
      <c r="E190" s="239"/>
      <c r="F190" s="125"/>
      <c r="G190" s="125"/>
      <c r="H190" s="163"/>
      <c r="I190" s="126"/>
      <c r="J190" s="240"/>
      <c r="K190" s="242"/>
    </row>
    <row r="191">
      <c r="A191" s="121"/>
      <c r="B191" s="122"/>
      <c r="C191" s="163"/>
      <c r="D191" s="123"/>
      <c r="E191" s="239"/>
      <c r="F191" s="125"/>
      <c r="G191" s="125"/>
      <c r="H191" s="163"/>
      <c r="I191" s="126"/>
      <c r="J191" s="240"/>
      <c r="K191" s="242"/>
    </row>
    <row r="192">
      <c r="A192" s="121"/>
      <c r="B192" s="122"/>
      <c r="C192" s="163"/>
      <c r="D192" s="123"/>
      <c r="E192" s="239"/>
      <c r="F192" s="125"/>
      <c r="G192" s="125"/>
      <c r="H192" s="163"/>
      <c r="I192" s="126"/>
      <c r="J192" s="240"/>
      <c r="K192" s="242"/>
    </row>
    <row r="193">
      <c r="A193" s="121"/>
      <c r="B193" s="122"/>
      <c r="C193" s="163"/>
      <c r="D193" s="123"/>
      <c r="E193" s="239"/>
      <c r="F193" s="125"/>
      <c r="G193" s="125"/>
      <c r="H193" s="163"/>
      <c r="I193" s="126"/>
      <c r="J193" s="240"/>
      <c r="K193" s="242"/>
    </row>
    <row r="194">
      <c r="A194" s="121"/>
      <c r="B194" s="122"/>
      <c r="C194" s="163"/>
      <c r="D194" s="123"/>
      <c r="E194" s="239"/>
      <c r="F194" s="125"/>
      <c r="G194" s="125"/>
      <c r="H194" s="163"/>
      <c r="I194" s="126"/>
      <c r="J194" s="240"/>
      <c r="K194" s="242"/>
    </row>
    <row r="195">
      <c r="A195" s="121"/>
      <c r="B195" s="122"/>
      <c r="C195" s="163"/>
      <c r="D195" s="123"/>
      <c r="E195" s="239"/>
      <c r="F195" s="125"/>
      <c r="G195" s="125"/>
      <c r="H195" s="163"/>
      <c r="I195" s="126"/>
      <c r="J195" s="240"/>
      <c r="K195" s="242"/>
    </row>
    <row r="196">
      <c r="A196" s="121"/>
      <c r="B196" s="122"/>
      <c r="C196" s="163"/>
      <c r="D196" s="123"/>
      <c r="E196" s="239"/>
      <c r="F196" s="125"/>
      <c r="G196" s="125"/>
      <c r="H196" s="163"/>
      <c r="I196" s="126"/>
      <c r="J196" s="240"/>
      <c r="K196" s="242"/>
    </row>
    <row r="197">
      <c r="A197" s="121"/>
      <c r="B197" s="122"/>
      <c r="C197" s="163"/>
      <c r="D197" s="123"/>
      <c r="E197" s="239"/>
      <c r="F197" s="125"/>
      <c r="G197" s="125"/>
      <c r="H197" s="163"/>
      <c r="I197" s="126"/>
      <c r="J197" s="240"/>
      <c r="K197" s="242"/>
    </row>
    <row r="198">
      <c r="A198" s="121"/>
      <c r="B198" s="122"/>
      <c r="C198" s="163"/>
      <c r="D198" s="123"/>
      <c r="E198" s="239"/>
      <c r="F198" s="125"/>
      <c r="G198" s="125"/>
      <c r="H198" s="163"/>
      <c r="I198" s="126"/>
      <c r="J198" s="240"/>
      <c r="K198" s="242"/>
    </row>
    <row r="199">
      <c r="A199" s="121"/>
      <c r="B199" s="122"/>
      <c r="C199" s="163"/>
      <c r="D199" s="123"/>
      <c r="E199" s="239"/>
      <c r="F199" s="125"/>
      <c r="G199" s="125"/>
      <c r="H199" s="163"/>
      <c r="I199" s="126"/>
      <c r="J199" s="240"/>
      <c r="K199" s="242"/>
    </row>
    <row r="200">
      <c r="A200" s="121"/>
      <c r="B200" s="122"/>
      <c r="C200" s="163"/>
      <c r="D200" s="123"/>
      <c r="E200" s="239"/>
      <c r="F200" s="125"/>
      <c r="G200" s="125"/>
      <c r="H200" s="163"/>
      <c r="I200" s="126"/>
      <c r="J200" s="240"/>
      <c r="K200" s="242"/>
    </row>
    <row r="201">
      <c r="A201" s="121"/>
      <c r="B201" s="122"/>
      <c r="C201" s="163"/>
      <c r="D201" s="123"/>
      <c r="E201" s="239"/>
      <c r="F201" s="125"/>
      <c r="G201" s="125"/>
      <c r="H201" s="163"/>
      <c r="I201" s="126"/>
      <c r="J201" s="240"/>
      <c r="K201" s="242"/>
    </row>
    <row r="202">
      <c r="A202" s="121"/>
      <c r="B202" s="122"/>
      <c r="C202" s="163"/>
      <c r="D202" s="123"/>
      <c r="E202" s="239"/>
      <c r="F202" s="125"/>
      <c r="G202" s="125"/>
      <c r="H202" s="163"/>
      <c r="I202" s="126"/>
      <c r="J202" s="240"/>
      <c r="K202" s="242"/>
    </row>
    <row r="203">
      <c r="A203" s="121"/>
      <c r="B203" s="122"/>
      <c r="C203" s="163"/>
      <c r="D203" s="123"/>
      <c r="E203" s="239"/>
      <c r="F203" s="125"/>
      <c r="G203" s="125"/>
      <c r="H203" s="163"/>
      <c r="I203" s="126"/>
      <c r="J203" s="240"/>
      <c r="K203" s="242"/>
    </row>
    <row r="204">
      <c r="A204" s="121"/>
      <c r="B204" s="122"/>
      <c r="C204" s="163"/>
      <c r="D204" s="123"/>
      <c r="E204" s="239"/>
      <c r="F204" s="125"/>
      <c r="G204" s="125"/>
      <c r="H204" s="163"/>
      <c r="I204" s="126"/>
      <c r="J204" s="240"/>
      <c r="K204" s="242"/>
    </row>
    <row r="205">
      <c r="A205" s="121"/>
      <c r="B205" s="122"/>
      <c r="C205" s="163"/>
      <c r="D205" s="123"/>
      <c r="E205" s="239"/>
      <c r="F205" s="125"/>
      <c r="G205" s="125"/>
      <c r="H205" s="163"/>
      <c r="I205" s="126"/>
      <c r="J205" s="240"/>
      <c r="K205" s="242"/>
    </row>
    <row r="206">
      <c r="A206" s="121"/>
      <c r="B206" s="122"/>
      <c r="C206" s="163"/>
      <c r="D206" s="123"/>
      <c r="E206" s="239"/>
      <c r="F206" s="125"/>
      <c r="G206" s="125"/>
      <c r="H206" s="163"/>
      <c r="I206" s="126"/>
      <c r="J206" s="240"/>
      <c r="K206" s="242"/>
    </row>
    <row r="207">
      <c r="A207" s="121"/>
      <c r="B207" s="122"/>
      <c r="C207" s="163"/>
      <c r="D207" s="123"/>
      <c r="E207" s="239"/>
      <c r="F207" s="125"/>
      <c r="G207" s="125"/>
      <c r="H207" s="163"/>
      <c r="I207" s="126"/>
      <c r="J207" s="240"/>
      <c r="K207" s="242"/>
    </row>
    <row r="208">
      <c r="A208" s="121"/>
      <c r="B208" s="122"/>
      <c r="C208" s="163"/>
      <c r="D208" s="123"/>
      <c r="E208" s="239"/>
      <c r="F208" s="125"/>
      <c r="G208" s="125"/>
      <c r="H208" s="163"/>
      <c r="I208" s="126"/>
      <c r="J208" s="240"/>
      <c r="K208" s="242"/>
    </row>
    <row r="209">
      <c r="A209" s="121"/>
      <c r="B209" s="122"/>
      <c r="C209" s="163"/>
      <c r="D209" s="123"/>
      <c r="E209" s="239"/>
      <c r="F209" s="125"/>
      <c r="G209" s="125"/>
      <c r="H209" s="163"/>
      <c r="I209" s="126"/>
      <c r="J209" s="240"/>
      <c r="K209" s="242"/>
    </row>
    <row r="210">
      <c r="A210" s="121"/>
      <c r="B210" s="122"/>
      <c r="C210" s="163"/>
      <c r="D210" s="123"/>
      <c r="E210" s="239"/>
      <c r="F210" s="125"/>
      <c r="G210" s="125"/>
      <c r="H210" s="163"/>
      <c r="I210" s="126"/>
      <c r="J210" s="240"/>
      <c r="K210" s="242"/>
    </row>
    <row r="211">
      <c r="A211" s="121"/>
      <c r="B211" s="122"/>
      <c r="C211" s="163"/>
      <c r="D211" s="123"/>
      <c r="E211" s="239"/>
      <c r="F211" s="125"/>
      <c r="G211" s="125"/>
      <c r="H211" s="163"/>
      <c r="I211" s="126"/>
      <c r="J211" s="240"/>
      <c r="K211" s="242"/>
    </row>
    <row r="212">
      <c r="A212" s="121"/>
      <c r="B212" s="122"/>
      <c r="C212" s="163"/>
      <c r="D212" s="123"/>
      <c r="E212" s="239"/>
      <c r="F212" s="125"/>
      <c r="G212" s="125"/>
      <c r="H212" s="163"/>
      <c r="I212" s="126"/>
      <c r="J212" s="240"/>
      <c r="K212" s="242"/>
    </row>
    <row r="213">
      <c r="A213" s="121"/>
      <c r="B213" s="122"/>
      <c r="C213" s="163"/>
      <c r="D213" s="123"/>
      <c r="E213" s="239"/>
      <c r="F213" s="125"/>
      <c r="G213" s="125"/>
      <c r="H213" s="163"/>
      <c r="I213" s="126"/>
      <c r="J213" s="240"/>
      <c r="K213" s="242"/>
    </row>
    <row r="214">
      <c r="A214" s="121"/>
      <c r="B214" s="122"/>
      <c r="C214" s="163"/>
      <c r="D214" s="123"/>
      <c r="E214" s="239"/>
      <c r="F214" s="125"/>
      <c r="G214" s="125"/>
      <c r="H214" s="163"/>
      <c r="I214" s="126"/>
      <c r="J214" s="240"/>
      <c r="K214" s="242"/>
    </row>
    <row r="215">
      <c r="A215" s="121"/>
      <c r="B215" s="122"/>
      <c r="C215" s="163"/>
      <c r="D215" s="123"/>
      <c r="E215" s="239"/>
      <c r="F215" s="125"/>
      <c r="G215" s="125"/>
      <c r="H215" s="163"/>
      <c r="I215" s="126"/>
      <c r="J215" s="240"/>
      <c r="K215" s="242"/>
    </row>
    <row r="216">
      <c r="A216" s="121"/>
      <c r="B216" s="122"/>
      <c r="C216" s="163"/>
      <c r="D216" s="123"/>
      <c r="E216" s="239"/>
      <c r="F216" s="125"/>
      <c r="G216" s="125"/>
      <c r="H216" s="163"/>
      <c r="I216" s="126"/>
      <c r="J216" s="240"/>
      <c r="K216" s="242"/>
    </row>
    <row r="217">
      <c r="A217" s="121"/>
      <c r="B217" s="122"/>
      <c r="C217" s="163"/>
      <c r="D217" s="123"/>
      <c r="E217" s="239"/>
      <c r="F217" s="125"/>
      <c r="G217" s="125"/>
      <c r="H217" s="163"/>
      <c r="I217" s="126"/>
      <c r="J217" s="240"/>
      <c r="K217" s="242"/>
    </row>
    <row r="218">
      <c r="A218" s="121"/>
      <c r="B218" s="122"/>
      <c r="C218" s="163"/>
      <c r="D218" s="123"/>
      <c r="E218" s="239"/>
      <c r="F218" s="125"/>
      <c r="G218" s="125"/>
      <c r="H218" s="163"/>
      <c r="I218" s="126"/>
      <c r="J218" s="240"/>
      <c r="K218" s="242"/>
    </row>
    <row r="219">
      <c r="A219" s="121"/>
      <c r="B219" s="122"/>
      <c r="C219" s="163"/>
      <c r="D219" s="123"/>
      <c r="E219" s="239"/>
      <c r="F219" s="125"/>
      <c r="G219" s="125"/>
      <c r="H219" s="163"/>
      <c r="I219" s="126"/>
      <c r="J219" s="240"/>
      <c r="K219" s="242"/>
    </row>
    <row r="220">
      <c r="A220" s="121"/>
      <c r="B220" s="122"/>
      <c r="C220" s="163"/>
      <c r="D220" s="123"/>
      <c r="E220" s="239"/>
      <c r="F220" s="125"/>
      <c r="G220" s="125"/>
      <c r="H220" s="163"/>
      <c r="I220" s="126"/>
      <c r="J220" s="240"/>
      <c r="K220" s="242"/>
    </row>
    <row r="221">
      <c r="A221" s="121"/>
      <c r="B221" s="122"/>
      <c r="C221" s="163"/>
      <c r="D221" s="123"/>
      <c r="E221" s="239"/>
      <c r="F221" s="125"/>
      <c r="G221" s="125"/>
      <c r="H221" s="163"/>
      <c r="I221" s="126"/>
      <c r="J221" s="240"/>
      <c r="K221" s="242"/>
    </row>
    <row r="222">
      <c r="A222" s="121"/>
      <c r="B222" s="122"/>
      <c r="C222" s="163"/>
      <c r="D222" s="123"/>
      <c r="E222" s="239"/>
      <c r="F222" s="125"/>
      <c r="G222" s="125"/>
      <c r="H222" s="163"/>
      <c r="I222" s="126"/>
      <c r="J222" s="240"/>
      <c r="K222" s="242"/>
    </row>
    <row r="223">
      <c r="A223" s="121"/>
      <c r="B223" s="122"/>
      <c r="C223" s="163"/>
      <c r="D223" s="123"/>
      <c r="E223" s="239"/>
      <c r="F223" s="125"/>
      <c r="G223" s="125"/>
      <c r="H223" s="163"/>
      <c r="I223" s="126"/>
      <c r="J223" s="240"/>
      <c r="K223" s="242"/>
    </row>
    <row r="224">
      <c r="A224" s="121"/>
      <c r="B224" s="122"/>
      <c r="C224" s="163"/>
      <c r="D224" s="123"/>
      <c r="E224" s="239"/>
      <c r="F224" s="125"/>
      <c r="G224" s="125"/>
      <c r="H224" s="163"/>
      <c r="I224" s="126"/>
      <c r="J224" s="240"/>
      <c r="K224" s="242"/>
    </row>
    <row r="225">
      <c r="A225" s="121"/>
      <c r="B225" s="122"/>
      <c r="C225" s="163"/>
      <c r="D225" s="123"/>
      <c r="E225" s="123"/>
      <c r="F225" s="125"/>
      <c r="G225" s="125"/>
      <c r="H225" s="163"/>
      <c r="I225" s="126"/>
      <c r="J225" s="240"/>
      <c r="K225" s="242"/>
    </row>
    <row r="226">
      <c r="A226" s="121"/>
      <c r="B226" s="122"/>
      <c r="C226" s="163"/>
      <c r="D226" s="123"/>
      <c r="E226" s="123"/>
      <c r="F226" s="125"/>
      <c r="G226" s="125"/>
      <c r="H226" s="163"/>
      <c r="I226" s="126"/>
      <c r="J226" s="240"/>
      <c r="K226" s="242"/>
    </row>
    <row r="227">
      <c r="A227" s="121"/>
      <c r="B227" s="122"/>
      <c r="C227" s="163"/>
      <c r="D227" s="123"/>
      <c r="E227" s="123"/>
      <c r="F227" s="125"/>
      <c r="G227" s="125"/>
      <c r="H227" s="163"/>
      <c r="I227" s="126"/>
      <c r="J227" s="240"/>
      <c r="K227" s="242"/>
    </row>
    <row r="228">
      <c r="A228" s="121"/>
      <c r="B228" s="122"/>
      <c r="C228" s="163"/>
      <c r="D228" s="123"/>
      <c r="E228" s="123"/>
      <c r="F228" s="125"/>
      <c r="G228" s="125"/>
      <c r="H228" s="163"/>
      <c r="I228" s="126"/>
      <c r="J228" s="240"/>
      <c r="K228" s="242"/>
    </row>
    <row r="229">
      <c r="A229" s="121"/>
      <c r="B229" s="122"/>
      <c r="C229" s="163"/>
      <c r="D229" s="123"/>
      <c r="E229" s="123"/>
      <c r="F229" s="125"/>
      <c r="G229" s="125"/>
      <c r="H229" s="163"/>
      <c r="I229" s="126"/>
      <c r="J229" s="240"/>
      <c r="K229" s="242"/>
    </row>
    <row r="230">
      <c r="A230" s="121"/>
      <c r="B230" s="122"/>
      <c r="C230" s="163"/>
      <c r="D230" s="123"/>
      <c r="E230" s="123"/>
      <c r="F230" s="125"/>
      <c r="G230" s="125"/>
      <c r="H230" s="163"/>
      <c r="I230" s="126"/>
      <c r="J230" s="240"/>
      <c r="K230" s="242"/>
    </row>
    <row r="231">
      <c r="A231" s="121"/>
      <c r="B231" s="122"/>
      <c r="C231" s="163"/>
      <c r="D231" s="123"/>
      <c r="E231" s="123"/>
      <c r="F231" s="125"/>
      <c r="G231" s="125"/>
      <c r="H231" s="163"/>
      <c r="I231" s="126"/>
      <c r="J231" s="240"/>
      <c r="K231" s="242"/>
    </row>
    <row r="232">
      <c r="A232" s="121"/>
      <c r="B232" s="122"/>
      <c r="C232" s="163"/>
      <c r="D232" s="123"/>
      <c r="E232" s="123"/>
      <c r="F232" s="125"/>
      <c r="G232" s="125"/>
      <c r="H232" s="163"/>
      <c r="I232" s="126"/>
      <c r="J232" s="240"/>
      <c r="K232" s="242"/>
    </row>
    <row r="233">
      <c r="A233" s="121"/>
      <c r="B233" s="122"/>
      <c r="C233" s="163"/>
      <c r="D233" s="123"/>
      <c r="E233" s="123"/>
      <c r="F233" s="125"/>
      <c r="G233" s="125"/>
      <c r="H233" s="163"/>
      <c r="I233" s="126"/>
      <c r="J233" s="240"/>
      <c r="K233" s="242"/>
    </row>
    <row r="234">
      <c r="A234" s="121"/>
      <c r="B234" s="122"/>
      <c r="C234" s="163"/>
      <c r="D234" s="123"/>
      <c r="E234" s="123"/>
      <c r="F234" s="125"/>
      <c r="G234" s="125"/>
      <c r="H234" s="163"/>
      <c r="I234" s="126"/>
      <c r="J234" s="240"/>
      <c r="K234" s="242"/>
    </row>
    <row r="235">
      <c r="A235" s="121"/>
      <c r="B235" s="122"/>
      <c r="C235" s="163"/>
      <c r="D235" s="123"/>
      <c r="E235" s="123"/>
      <c r="F235" s="125"/>
      <c r="G235" s="125"/>
      <c r="H235" s="163"/>
      <c r="I235" s="126"/>
      <c r="J235" s="240"/>
      <c r="K235" s="242"/>
    </row>
    <row r="236">
      <c r="A236" s="121"/>
      <c r="B236" s="122"/>
      <c r="C236" s="163"/>
      <c r="D236" s="123"/>
      <c r="E236" s="123"/>
      <c r="F236" s="125"/>
      <c r="G236" s="125"/>
      <c r="H236" s="163"/>
      <c r="I236" s="126"/>
      <c r="J236" s="240"/>
      <c r="K236" s="242"/>
    </row>
    <row r="237">
      <c r="A237" s="121"/>
      <c r="B237" s="122"/>
      <c r="C237" s="163"/>
      <c r="D237" s="123"/>
      <c r="E237" s="123"/>
      <c r="F237" s="125"/>
      <c r="G237" s="125"/>
      <c r="H237" s="163"/>
      <c r="I237" s="126"/>
      <c r="J237" s="240"/>
      <c r="K237" s="242"/>
    </row>
    <row r="238">
      <c r="A238" s="121"/>
      <c r="B238" s="122"/>
      <c r="C238" s="163"/>
      <c r="D238" s="123"/>
      <c r="E238" s="123"/>
      <c r="F238" s="125"/>
      <c r="G238" s="125"/>
      <c r="H238" s="163"/>
      <c r="I238" s="126"/>
      <c r="J238" s="240"/>
      <c r="K238" s="242"/>
    </row>
    <row r="239">
      <c r="A239" s="121"/>
      <c r="B239" s="122"/>
      <c r="C239" s="163"/>
      <c r="D239" s="123"/>
      <c r="E239" s="123"/>
      <c r="F239" s="125"/>
      <c r="G239" s="125"/>
      <c r="H239" s="163"/>
      <c r="I239" s="126"/>
      <c r="J239" s="240"/>
      <c r="K239" s="242"/>
    </row>
    <row r="240">
      <c r="A240" s="121"/>
      <c r="B240" s="122"/>
      <c r="C240" s="163"/>
      <c r="D240" s="123"/>
      <c r="E240" s="123"/>
      <c r="F240" s="125"/>
      <c r="G240" s="125"/>
      <c r="H240" s="163"/>
      <c r="I240" s="126"/>
      <c r="J240" s="240"/>
      <c r="K240" s="242"/>
    </row>
    <row r="241">
      <c r="A241" s="121"/>
      <c r="B241" s="122"/>
      <c r="C241" s="163"/>
      <c r="D241" s="123"/>
      <c r="E241" s="123"/>
      <c r="F241" s="125"/>
      <c r="G241" s="125"/>
      <c r="H241" s="163"/>
      <c r="I241" s="126"/>
      <c r="J241" s="240"/>
      <c r="K241" s="242"/>
    </row>
    <row r="242">
      <c r="A242" s="121"/>
      <c r="B242" s="122"/>
      <c r="C242" s="163"/>
      <c r="D242" s="123"/>
      <c r="E242" s="123"/>
      <c r="F242" s="125"/>
      <c r="G242" s="125"/>
      <c r="H242" s="163"/>
      <c r="I242" s="126"/>
      <c r="J242" s="240"/>
      <c r="K242" s="242"/>
    </row>
    <row r="243">
      <c r="A243" s="121"/>
      <c r="B243" s="122"/>
      <c r="C243" s="163"/>
      <c r="D243" s="123"/>
      <c r="E243" s="123"/>
      <c r="F243" s="125"/>
      <c r="G243" s="125"/>
      <c r="H243" s="163"/>
      <c r="I243" s="126"/>
      <c r="J243" s="240"/>
      <c r="K243" s="242"/>
    </row>
    <row r="244">
      <c r="A244" s="121"/>
      <c r="B244" s="122"/>
      <c r="C244" s="163"/>
      <c r="D244" s="123"/>
      <c r="E244" s="123"/>
      <c r="F244" s="125"/>
      <c r="G244" s="125"/>
      <c r="H244" s="163"/>
      <c r="I244" s="126"/>
      <c r="J244" s="240"/>
      <c r="K244" s="242"/>
    </row>
    <row r="245">
      <c r="A245" s="121"/>
      <c r="B245" s="122"/>
      <c r="C245" s="163"/>
      <c r="D245" s="123"/>
      <c r="E245" s="123"/>
      <c r="F245" s="125"/>
      <c r="G245" s="125"/>
      <c r="H245" s="163"/>
      <c r="I245" s="126"/>
      <c r="J245" s="240"/>
      <c r="K245" s="242"/>
    </row>
    <row r="246">
      <c r="A246" s="121"/>
      <c r="B246" s="122"/>
      <c r="C246" s="163"/>
      <c r="D246" s="123"/>
      <c r="E246" s="123"/>
      <c r="F246" s="125"/>
      <c r="G246" s="125"/>
      <c r="H246" s="163"/>
      <c r="I246" s="126"/>
      <c r="J246" s="240"/>
      <c r="K246" s="242"/>
    </row>
    <row r="247">
      <c r="A247" s="121"/>
      <c r="B247" s="122"/>
      <c r="C247" s="163"/>
      <c r="D247" s="123"/>
      <c r="E247" s="123"/>
      <c r="F247" s="125"/>
      <c r="G247" s="125"/>
      <c r="H247" s="163"/>
      <c r="I247" s="126"/>
      <c r="J247" s="240"/>
      <c r="K247" s="242"/>
    </row>
    <row r="248">
      <c r="A248" s="121"/>
      <c r="B248" s="122"/>
      <c r="C248" s="163"/>
      <c r="D248" s="123"/>
      <c r="E248" s="123"/>
      <c r="F248" s="125"/>
      <c r="G248" s="125"/>
      <c r="H248" s="163"/>
      <c r="I248" s="126"/>
      <c r="J248" s="240"/>
      <c r="K248" s="242"/>
    </row>
    <row r="249">
      <c r="A249" s="121"/>
      <c r="B249" s="122"/>
      <c r="C249" s="163"/>
      <c r="D249" s="123"/>
      <c r="E249" s="123"/>
      <c r="F249" s="125"/>
      <c r="G249" s="125"/>
      <c r="H249" s="163"/>
      <c r="I249" s="126"/>
      <c r="J249" s="240"/>
      <c r="K249" s="242"/>
    </row>
    <row r="250">
      <c r="A250" s="121"/>
      <c r="B250" s="122"/>
      <c r="C250" s="163"/>
      <c r="D250" s="123"/>
      <c r="E250" s="123"/>
      <c r="F250" s="125"/>
      <c r="G250" s="125"/>
      <c r="H250" s="163"/>
      <c r="I250" s="126"/>
      <c r="J250" s="240"/>
      <c r="K250" s="242"/>
    </row>
    <row r="251">
      <c r="A251" s="121"/>
      <c r="B251" s="122"/>
      <c r="C251" s="163"/>
      <c r="D251" s="123"/>
      <c r="E251" s="123"/>
      <c r="F251" s="125"/>
      <c r="G251" s="125"/>
      <c r="H251" s="163"/>
      <c r="I251" s="126"/>
      <c r="J251" s="240"/>
      <c r="K251" s="242"/>
    </row>
    <row r="252">
      <c r="A252" s="121"/>
      <c r="B252" s="122"/>
      <c r="C252" s="163"/>
      <c r="D252" s="123"/>
      <c r="E252" s="123"/>
      <c r="F252" s="125"/>
      <c r="G252" s="125"/>
      <c r="H252" s="163"/>
      <c r="I252" s="126"/>
      <c r="J252" s="240"/>
      <c r="K252" s="242"/>
    </row>
    <row r="253">
      <c r="A253" s="121"/>
      <c r="B253" s="122"/>
      <c r="C253" s="163"/>
      <c r="D253" s="123"/>
      <c r="E253" s="123"/>
      <c r="F253" s="125"/>
      <c r="G253" s="125"/>
      <c r="H253" s="163"/>
      <c r="I253" s="126"/>
      <c r="J253" s="240"/>
      <c r="K253" s="242"/>
    </row>
    <row r="254">
      <c r="A254" s="121"/>
      <c r="B254" s="122"/>
      <c r="C254" s="163"/>
      <c r="D254" s="123"/>
      <c r="E254" s="123"/>
      <c r="F254" s="125"/>
      <c r="G254" s="125"/>
      <c r="H254" s="163"/>
      <c r="I254" s="126"/>
      <c r="J254" s="240"/>
      <c r="K254" s="242"/>
    </row>
    <row r="255">
      <c r="A255" s="121"/>
      <c r="B255" s="122"/>
      <c r="C255" s="163"/>
      <c r="D255" s="123"/>
      <c r="E255" s="123"/>
      <c r="F255" s="125"/>
      <c r="G255" s="125"/>
      <c r="H255" s="163"/>
      <c r="I255" s="126"/>
      <c r="J255" s="240"/>
      <c r="K255" s="242"/>
    </row>
    <row r="256">
      <c r="A256" s="121"/>
      <c r="B256" s="122"/>
      <c r="C256" s="163"/>
      <c r="D256" s="123"/>
      <c r="E256" s="123"/>
      <c r="F256" s="125"/>
      <c r="G256" s="125"/>
      <c r="H256" s="163"/>
      <c r="I256" s="126"/>
      <c r="J256" s="240"/>
      <c r="K256" s="242"/>
    </row>
    <row r="257">
      <c r="A257" s="121"/>
      <c r="B257" s="122"/>
      <c r="C257" s="163"/>
      <c r="D257" s="123"/>
      <c r="E257" s="123"/>
      <c r="F257" s="125"/>
      <c r="G257" s="125"/>
      <c r="H257" s="163"/>
      <c r="I257" s="126"/>
      <c r="J257" s="240"/>
      <c r="K257" s="242"/>
    </row>
    <row r="258">
      <c r="A258" s="121"/>
      <c r="B258" s="122"/>
      <c r="C258" s="163"/>
      <c r="D258" s="123"/>
      <c r="E258" s="123"/>
      <c r="F258" s="125"/>
      <c r="G258" s="125"/>
      <c r="H258" s="163"/>
      <c r="I258" s="126"/>
      <c r="J258" s="240"/>
      <c r="K258" s="242"/>
    </row>
    <row r="259">
      <c r="A259" s="121"/>
      <c r="B259" s="122"/>
      <c r="C259" s="163"/>
      <c r="D259" s="123"/>
      <c r="E259" s="123"/>
      <c r="F259" s="125"/>
      <c r="G259" s="125"/>
      <c r="H259" s="163"/>
      <c r="I259" s="126"/>
      <c r="J259" s="240"/>
      <c r="K259" s="242"/>
    </row>
    <row r="260">
      <c r="A260" s="121"/>
      <c r="B260" s="122"/>
      <c r="C260" s="163"/>
      <c r="D260" s="123"/>
      <c r="E260" s="123"/>
      <c r="F260" s="125"/>
      <c r="G260" s="125"/>
      <c r="H260" s="163"/>
      <c r="I260" s="126"/>
      <c r="J260" s="240"/>
      <c r="K260" s="242"/>
    </row>
    <row r="261">
      <c r="A261" s="121"/>
      <c r="B261" s="122"/>
      <c r="C261" s="163"/>
      <c r="D261" s="123"/>
      <c r="E261" s="123"/>
      <c r="F261" s="125"/>
      <c r="G261" s="125"/>
      <c r="H261" s="163"/>
      <c r="I261" s="126"/>
      <c r="J261" s="240"/>
      <c r="K261" s="242"/>
    </row>
    <row r="262">
      <c r="A262" s="121"/>
      <c r="B262" s="122"/>
      <c r="C262" s="163"/>
      <c r="D262" s="123"/>
      <c r="E262" s="123"/>
      <c r="F262" s="125"/>
      <c r="G262" s="125"/>
      <c r="H262" s="163"/>
      <c r="I262" s="126"/>
      <c r="J262" s="240"/>
      <c r="K262" s="242"/>
    </row>
    <row r="263">
      <c r="A263" s="121"/>
      <c r="B263" s="122"/>
      <c r="C263" s="163"/>
      <c r="D263" s="123"/>
      <c r="E263" s="123"/>
      <c r="F263" s="125"/>
      <c r="G263" s="125"/>
      <c r="H263" s="163"/>
      <c r="I263" s="126"/>
      <c r="J263" s="240"/>
      <c r="K263" s="242"/>
    </row>
    <row r="264">
      <c r="A264" s="121"/>
      <c r="B264" s="122"/>
      <c r="C264" s="163"/>
      <c r="D264" s="123"/>
      <c r="E264" s="123"/>
      <c r="F264" s="125"/>
      <c r="G264" s="125"/>
      <c r="H264" s="163"/>
      <c r="I264" s="126"/>
      <c r="J264" s="240"/>
      <c r="K264" s="242"/>
    </row>
    <row r="265">
      <c r="A265" s="121"/>
      <c r="B265" s="122"/>
      <c r="C265" s="163"/>
      <c r="D265" s="123"/>
      <c r="E265" s="123"/>
      <c r="F265" s="125"/>
      <c r="G265" s="125"/>
      <c r="H265" s="163"/>
      <c r="I265" s="126"/>
      <c r="J265" s="240"/>
      <c r="K265" s="242"/>
    </row>
    <row r="266">
      <c r="A266" s="121"/>
      <c r="B266" s="122"/>
      <c r="C266" s="163"/>
      <c r="D266" s="123"/>
      <c r="E266" s="123"/>
      <c r="F266" s="125"/>
      <c r="G266" s="125"/>
      <c r="H266" s="163"/>
      <c r="I266" s="126"/>
      <c r="J266" s="240"/>
      <c r="K266" s="242"/>
    </row>
    <row r="267">
      <c r="A267" s="121"/>
      <c r="B267" s="122"/>
      <c r="C267" s="163"/>
      <c r="D267" s="123"/>
      <c r="E267" s="123"/>
      <c r="F267" s="125"/>
      <c r="G267" s="125"/>
      <c r="H267" s="163"/>
      <c r="I267" s="126"/>
      <c r="J267" s="240"/>
      <c r="K267" s="242"/>
    </row>
    <row r="268">
      <c r="A268" s="121"/>
      <c r="B268" s="122"/>
      <c r="C268" s="163"/>
      <c r="D268" s="123"/>
      <c r="E268" s="123"/>
      <c r="F268" s="125"/>
      <c r="G268" s="125"/>
      <c r="H268" s="163"/>
      <c r="I268" s="126"/>
      <c r="J268" s="240"/>
      <c r="K268" s="242"/>
    </row>
    <row r="269">
      <c r="A269" s="121"/>
      <c r="B269" s="122"/>
      <c r="C269" s="163"/>
      <c r="D269" s="123"/>
      <c r="E269" s="123"/>
      <c r="F269" s="125"/>
      <c r="G269" s="125"/>
      <c r="H269" s="163"/>
      <c r="I269" s="126"/>
      <c r="J269" s="240"/>
      <c r="K269" s="242"/>
    </row>
    <row r="270">
      <c r="A270" s="121"/>
      <c r="B270" s="122"/>
      <c r="C270" s="163"/>
      <c r="D270" s="123"/>
      <c r="E270" s="123"/>
      <c r="F270" s="125"/>
      <c r="G270" s="125"/>
      <c r="H270" s="163"/>
      <c r="I270" s="126"/>
      <c r="J270" s="240"/>
      <c r="K270" s="242"/>
    </row>
    <row r="271">
      <c r="A271" s="121"/>
      <c r="B271" s="122"/>
      <c r="C271" s="163"/>
      <c r="D271" s="123"/>
      <c r="E271" s="123"/>
      <c r="F271" s="125"/>
      <c r="G271" s="125"/>
      <c r="H271" s="163"/>
      <c r="I271" s="126"/>
      <c r="J271" s="240"/>
      <c r="K271" s="242"/>
    </row>
    <row r="272">
      <c r="A272" s="121"/>
      <c r="B272" s="122"/>
      <c r="C272" s="163"/>
      <c r="D272" s="123"/>
      <c r="E272" s="123"/>
      <c r="F272" s="125"/>
      <c r="G272" s="125"/>
      <c r="H272" s="163"/>
      <c r="I272" s="126"/>
      <c r="J272" s="240"/>
      <c r="K272" s="242"/>
    </row>
    <row r="273">
      <c r="A273" s="121"/>
      <c r="B273" s="122"/>
      <c r="C273" s="163"/>
      <c r="D273" s="123"/>
      <c r="E273" s="123"/>
      <c r="F273" s="125"/>
      <c r="G273" s="125"/>
      <c r="H273" s="163"/>
      <c r="I273" s="126"/>
      <c r="J273" s="240"/>
      <c r="K273" s="242"/>
    </row>
    <row r="274">
      <c r="A274" s="121"/>
      <c r="B274" s="122"/>
      <c r="C274" s="163"/>
      <c r="D274" s="123"/>
      <c r="E274" s="123"/>
      <c r="F274" s="125"/>
      <c r="G274" s="125"/>
      <c r="H274" s="163"/>
      <c r="I274" s="126"/>
      <c r="J274" s="240"/>
      <c r="K274" s="242"/>
    </row>
    <row r="275">
      <c r="A275" s="121"/>
      <c r="B275" s="122"/>
      <c r="C275" s="163"/>
      <c r="D275" s="123"/>
      <c r="E275" s="123"/>
      <c r="F275" s="125"/>
      <c r="G275" s="125"/>
      <c r="H275" s="163"/>
      <c r="I275" s="126"/>
      <c r="J275" s="240"/>
      <c r="K275" s="242"/>
    </row>
    <row r="276">
      <c r="A276" s="121"/>
      <c r="B276" s="122"/>
      <c r="C276" s="163"/>
      <c r="D276" s="123"/>
      <c r="E276" s="123"/>
      <c r="F276" s="125"/>
      <c r="G276" s="125"/>
      <c r="H276" s="163"/>
      <c r="I276" s="126"/>
      <c r="J276" s="240"/>
      <c r="K276" s="242"/>
    </row>
    <row r="277">
      <c r="A277" s="121"/>
      <c r="B277" s="122"/>
      <c r="C277" s="163"/>
      <c r="D277" s="123"/>
      <c r="E277" s="123"/>
      <c r="F277" s="125"/>
      <c r="G277" s="125"/>
      <c r="H277" s="163"/>
      <c r="I277" s="126"/>
      <c r="J277" s="240"/>
      <c r="K277" s="242"/>
    </row>
    <row r="278">
      <c r="A278" s="121"/>
      <c r="B278" s="122"/>
      <c r="C278" s="163"/>
      <c r="D278" s="123"/>
      <c r="E278" s="123"/>
      <c r="F278" s="125"/>
      <c r="G278" s="125"/>
      <c r="H278" s="163"/>
      <c r="I278" s="126"/>
      <c r="J278" s="240"/>
      <c r="K278" s="242"/>
    </row>
    <row r="279">
      <c r="A279" s="121"/>
      <c r="B279" s="122"/>
      <c r="C279" s="163"/>
      <c r="D279" s="123"/>
      <c r="E279" s="123"/>
      <c r="F279" s="125"/>
      <c r="G279" s="125"/>
      <c r="H279" s="163"/>
      <c r="I279" s="126"/>
      <c r="J279" s="240"/>
      <c r="K279" s="242"/>
    </row>
    <row r="280">
      <c r="A280" s="121"/>
      <c r="B280" s="122"/>
      <c r="C280" s="163"/>
      <c r="D280" s="123"/>
      <c r="E280" s="123"/>
      <c r="F280" s="125"/>
      <c r="G280" s="125"/>
      <c r="H280" s="163"/>
      <c r="I280" s="126"/>
      <c r="J280" s="240"/>
      <c r="K280" s="242"/>
    </row>
    <row r="281">
      <c r="A281" s="121"/>
      <c r="B281" s="122"/>
      <c r="C281" s="163"/>
      <c r="D281" s="123"/>
      <c r="E281" s="123"/>
      <c r="F281" s="125"/>
      <c r="G281" s="125"/>
      <c r="H281" s="163"/>
      <c r="I281" s="126"/>
      <c r="J281" s="240"/>
      <c r="K281" s="242"/>
    </row>
    <row r="282">
      <c r="A282" s="121"/>
      <c r="B282" s="122"/>
      <c r="C282" s="163"/>
      <c r="D282" s="123"/>
      <c r="E282" s="123"/>
      <c r="F282" s="125"/>
      <c r="G282" s="125"/>
      <c r="H282" s="163"/>
      <c r="I282" s="126"/>
      <c r="J282" s="240"/>
      <c r="K282" s="242"/>
    </row>
    <row r="283">
      <c r="A283" s="121"/>
      <c r="B283" s="122"/>
      <c r="C283" s="163"/>
      <c r="D283" s="123"/>
      <c r="E283" s="123"/>
      <c r="F283" s="125"/>
      <c r="G283" s="125"/>
      <c r="H283" s="163"/>
      <c r="I283" s="126"/>
      <c r="J283" s="240"/>
      <c r="K283" s="242"/>
    </row>
    <row r="284">
      <c r="A284" s="121"/>
      <c r="B284" s="122"/>
      <c r="C284" s="163"/>
      <c r="D284" s="123"/>
      <c r="E284" s="123"/>
      <c r="F284" s="125"/>
      <c r="G284" s="125"/>
      <c r="H284" s="163"/>
      <c r="I284" s="126"/>
      <c r="J284" s="240"/>
      <c r="K284" s="242"/>
    </row>
    <row r="285">
      <c r="A285" s="121"/>
      <c r="B285" s="122"/>
      <c r="C285" s="163"/>
      <c r="D285" s="123"/>
      <c r="E285" s="123"/>
      <c r="F285" s="125"/>
      <c r="G285" s="125"/>
      <c r="H285" s="163"/>
      <c r="I285" s="126"/>
      <c r="J285" s="240"/>
      <c r="K285" s="242"/>
    </row>
    <row r="286">
      <c r="A286" s="121"/>
      <c r="B286" s="122"/>
      <c r="C286" s="163"/>
      <c r="D286" s="123"/>
      <c r="E286" s="123"/>
      <c r="F286" s="125"/>
      <c r="G286" s="125"/>
      <c r="H286" s="163"/>
      <c r="I286" s="126"/>
      <c r="J286" s="240"/>
      <c r="K286" s="242"/>
    </row>
    <row r="287">
      <c r="A287" s="121"/>
      <c r="B287" s="122"/>
      <c r="C287" s="163"/>
      <c r="D287" s="123"/>
      <c r="E287" s="123"/>
      <c r="F287" s="125"/>
      <c r="G287" s="125"/>
      <c r="H287" s="163"/>
      <c r="I287" s="126"/>
      <c r="J287" s="240"/>
      <c r="K287" s="242"/>
    </row>
    <row r="288">
      <c r="A288" s="121"/>
      <c r="B288" s="122"/>
      <c r="C288" s="163"/>
      <c r="D288" s="123"/>
      <c r="E288" s="123"/>
      <c r="F288" s="125"/>
      <c r="G288" s="125"/>
      <c r="H288" s="163"/>
      <c r="I288" s="126"/>
      <c r="J288" s="240"/>
      <c r="K288" s="242"/>
    </row>
    <row r="289">
      <c r="A289" s="121"/>
      <c r="B289" s="122"/>
      <c r="C289" s="163"/>
      <c r="D289" s="123"/>
      <c r="E289" s="123"/>
      <c r="F289" s="125"/>
      <c r="G289" s="125"/>
      <c r="H289" s="163"/>
      <c r="I289" s="126"/>
      <c r="J289" s="240"/>
      <c r="K289" s="242"/>
    </row>
    <row r="290">
      <c r="A290" s="121"/>
      <c r="B290" s="122"/>
      <c r="C290" s="163"/>
      <c r="D290" s="123"/>
      <c r="E290" s="123"/>
      <c r="F290" s="125"/>
      <c r="G290" s="125"/>
      <c r="H290" s="163"/>
      <c r="I290" s="126"/>
      <c r="J290" s="240"/>
      <c r="K290" s="242"/>
    </row>
    <row r="291">
      <c r="A291" s="121"/>
      <c r="B291" s="122"/>
      <c r="C291" s="163"/>
      <c r="D291" s="123"/>
      <c r="E291" s="123"/>
      <c r="F291" s="125"/>
      <c r="G291" s="125"/>
      <c r="H291" s="163"/>
      <c r="I291" s="126"/>
      <c r="J291" s="240"/>
      <c r="K291" s="242"/>
    </row>
    <row r="292">
      <c r="A292" s="121"/>
      <c r="B292" s="122"/>
      <c r="C292" s="163"/>
      <c r="D292" s="123"/>
      <c r="E292" s="123"/>
      <c r="F292" s="125"/>
      <c r="G292" s="125"/>
      <c r="H292" s="163"/>
      <c r="I292" s="126"/>
      <c r="J292" s="240"/>
      <c r="K292" s="242"/>
    </row>
    <row r="293">
      <c r="A293" s="121"/>
      <c r="B293" s="122"/>
      <c r="C293" s="163"/>
      <c r="D293" s="123"/>
      <c r="E293" s="123"/>
      <c r="F293" s="125"/>
      <c r="G293" s="125"/>
      <c r="H293" s="163"/>
      <c r="I293" s="126"/>
      <c r="J293" s="240"/>
      <c r="K293" s="242"/>
    </row>
    <row r="294">
      <c r="A294" s="121"/>
      <c r="B294" s="122"/>
      <c r="C294" s="163"/>
      <c r="D294" s="123"/>
      <c r="E294" s="123"/>
      <c r="F294" s="125"/>
      <c r="G294" s="125"/>
      <c r="H294" s="163"/>
      <c r="I294" s="126"/>
      <c r="J294" s="240"/>
      <c r="K294" s="242"/>
    </row>
    <row r="295">
      <c r="A295" s="121"/>
      <c r="B295" s="122"/>
      <c r="C295" s="163"/>
      <c r="D295" s="123"/>
      <c r="E295" s="123"/>
      <c r="F295" s="125"/>
      <c r="G295" s="125"/>
      <c r="H295" s="163"/>
      <c r="I295" s="126"/>
      <c r="J295" s="240"/>
      <c r="K295" s="242"/>
    </row>
    <row r="296">
      <c r="A296" s="121"/>
      <c r="B296" s="122"/>
      <c r="C296" s="163"/>
      <c r="D296" s="123"/>
      <c r="E296" s="123"/>
      <c r="F296" s="125"/>
      <c r="G296" s="125"/>
      <c r="H296" s="163"/>
      <c r="I296" s="126"/>
      <c r="J296" s="240"/>
      <c r="K296" s="242"/>
    </row>
    <row r="297">
      <c r="A297" s="121"/>
      <c r="B297" s="122"/>
      <c r="C297" s="163"/>
      <c r="D297" s="123"/>
      <c r="E297" s="123"/>
      <c r="F297" s="125"/>
      <c r="G297" s="125"/>
      <c r="H297" s="163"/>
      <c r="I297" s="126"/>
      <c r="J297" s="240"/>
      <c r="K297" s="242"/>
    </row>
    <row r="298">
      <c r="A298" s="121"/>
      <c r="B298" s="122"/>
      <c r="C298" s="163"/>
      <c r="D298" s="123"/>
      <c r="E298" s="123"/>
      <c r="F298" s="125"/>
      <c r="G298" s="125"/>
      <c r="H298" s="163"/>
      <c r="I298" s="126"/>
      <c r="J298" s="240"/>
      <c r="K298" s="242"/>
    </row>
    <row r="299">
      <c r="A299" s="121"/>
      <c r="B299" s="122"/>
      <c r="C299" s="163"/>
      <c r="D299" s="123"/>
      <c r="E299" s="123"/>
      <c r="F299" s="125"/>
      <c r="G299" s="125"/>
      <c r="H299" s="163"/>
      <c r="I299" s="126"/>
      <c r="J299" s="240"/>
      <c r="K299" s="242"/>
    </row>
    <row r="300">
      <c r="A300" s="121"/>
      <c r="B300" s="122"/>
      <c r="C300" s="163"/>
      <c r="D300" s="123"/>
      <c r="E300" s="123"/>
      <c r="F300" s="125"/>
      <c r="G300" s="125"/>
      <c r="H300" s="163"/>
      <c r="I300" s="126"/>
      <c r="J300" s="240"/>
      <c r="K300" s="242"/>
    </row>
    <row r="301">
      <c r="A301" s="121"/>
      <c r="B301" s="122"/>
      <c r="C301" s="163"/>
      <c r="D301" s="123"/>
      <c r="E301" s="123"/>
      <c r="F301" s="125"/>
      <c r="G301" s="125"/>
      <c r="H301" s="163"/>
      <c r="I301" s="126"/>
      <c r="J301" s="240"/>
      <c r="K301" s="242"/>
    </row>
    <row r="302">
      <c r="A302" s="121"/>
      <c r="B302" s="122"/>
      <c r="C302" s="163"/>
      <c r="D302" s="123"/>
      <c r="E302" s="123"/>
      <c r="F302" s="125"/>
      <c r="G302" s="125"/>
      <c r="H302" s="163"/>
      <c r="I302" s="126"/>
      <c r="J302" s="240"/>
      <c r="K302" s="242"/>
    </row>
    <row r="303">
      <c r="A303" s="121"/>
      <c r="B303" s="122"/>
      <c r="C303" s="163"/>
      <c r="D303" s="123"/>
      <c r="E303" s="123"/>
      <c r="F303" s="125"/>
      <c r="G303" s="125"/>
      <c r="H303" s="163"/>
      <c r="I303" s="126"/>
      <c r="J303" s="240"/>
      <c r="K303" s="242"/>
    </row>
    <row r="304">
      <c r="A304" s="121"/>
      <c r="B304" s="122"/>
      <c r="C304" s="163"/>
      <c r="D304" s="123"/>
      <c r="E304" s="123"/>
      <c r="F304" s="125"/>
      <c r="G304" s="125"/>
      <c r="H304" s="163"/>
      <c r="I304" s="126"/>
      <c r="J304" s="240"/>
      <c r="K304" s="242"/>
    </row>
    <row r="305">
      <c r="A305" s="121"/>
      <c r="B305" s="122"/>
      <c r="C305" s="163"/>
      <c r="D305" s="123"/>
      <c r="E305" s="123"/>
      <c r="F305" s="125"/>
      <c r="G305" s="125"/>
      <c r="H305" s="163"/>
      <c r="I305" s="126"/>
      <c r="J305" s="240"/>
      <c r="K305" s="242"/>
    </row>
    <row r="306">
      <c r="A306" s="121"/>
      <c r="B306" s="122"/>
      <c r="C306" s="163"/>
      <c r="D306" s="123"/>
      <c r="E306" s="123"/>
      <c r="F306" s="125"/>
      <c r="G306" s="125"/>
      <c r="H306" s="163"/>
      <c r="I306" s="126"/>
      <c r="J306" s="240"/>
      <c r="K306" s="242"/>
    </row>
    <row r="307">
      <c r="A307" s="121"/>
      <c r="B307" s="122"/>
      <c r="C307" s="163"/>
      <c r="D307" s="123"/>
      <c r="E307" s="123"/>
      <c r="F307" s="125"/>
      <c r="G307" s="125"/>
      <c r="H307" s="163"/>
      <c r="I307" s="126"/>
      <c r="J307" s="240"/>
      <c r="K307" s="242"/>
    </row>
    <row r="308">
      <c r="A308" s="121"/>
      <c r="B308" s="122"/>
      <c r="C308" s="163"/>
      <c r="D308" s="123"/>
      <c r="E308" s="123"/>
      <c r="F308" s="125"/>
      <c r="G308" s="125"/>
      <c r="H308" s="163"/>
      <c r="I308" s="126"/>
      <c r="J308" s="240"/>
      <c r="K308" s="242"/>
    </row>
    <row r="309">
      <c r="A309" s="121"/>
      <c r="B309" s="122"/>
      <c r="C309" s="163"/>
      <c r="D309" s="123"/>
      <c r="E309" s="123"/>
      <c r="F309" s="125"/>
      <c r="G309" s="125"/>
      <c r="H309" s="163"/>
      <c r="I309" s="126"/>
      <c r="J309" s="240"/>
      <c r="K309" s="242"/>
    </row>
    <row r="310">
      <c r="A310" s="121"/>
      <c r="B310" s="122"/>
      <c r="C310" s="163"/>
      <c r="D310" s="123"/>
      <c r="E310" s="123"/>
      <c r="F310" s="125"/>
      <c r="G310" s="125"/>
      <c r="H310" s="163"/>
      <c r="I310" s="126"/>
      <c r="J310" s="240"/>
      <c r="K310" s="242"/>
    </row>
    <row r="311">
      <c r="A311" s="121"/>
      <c r="B311" s="122"/>
      <c r="C311" s="163"/>
      <c r="D311" s="123"/>
      <c r="E311" s="123"/>
      <c r="F311" s="125"/>
      <c r="G311" s="125"/>
      <c r="H311" s="163"/>
      <c r="I311" s="126"/>
      <c r="J311" s="240"/>
      <c r="K311" s="242"/>
    </row>
    <row r="312">
      <c r="A312" s="121"/>
      <c r="B312" s="122"/>
      <c r="C312" s="163"/>
      <c r="D312" s="123"/>
      <c r="E312" s="123"/>
      <c r="F312" s="125"/>
      <c r="G312" s="125"/>
      <c r="H312" s="163"/>
      <c r="I312" s="126"/>
      <c r="J312" s="240"/>
      <c r="K312" s="242"/>
    </row>
    <row r="313">
      <c r="A313" s="121"/>
      <c r="B313" s="122"/>
      <c r="C313" s="163"/>
      <c r="D313" s="123"/>
      <c r="E313" s="123"/>
      <c r="F313" s="125"/>
      <c r="G313" s="125"/>
      <c r="H313" s="163"/>
      <c r="I313" s="126"/>
      <c r="J313" s="240"/>
      <c r="K313" s="242"/>
    </row>
    <row r="314">
      <c r="A314" s="121"/>
      <c r="B314" s="122"/>
      <c r="C314" s="163"/>
      <c r="D314" s="123"/>
      <c r="E314" s="123"/>
      <c r="F314" s="125"/>
      <c r="G314" s="125"/>
      <c r="H314" s="163"/>
      <c r="I314" s="126"/>
      <c r="J314" s="240"/>
      <c r="K314" s="242"/>
    </row>
    <row r="315">
      <c r="A315" s="121"/>
      <c r="B315" s="122"/>
      <c r="C315" s="163"/>
      <c r="D315" s="123"/>
      <c r="E315" s="123"/>
      <c r="F315" s="125"/>
      <c r="G315" s="125"/>
      <c r="H315" s="163"/>
      <c r="I315" s="126"/>
      <c r="J315" s="240"/>
      <c r="K315" s="242"/>
    </row>
    <row r="316">
      <c r="A316" s="121"/>
      <c r="B316" s="122"/>
      <c r="C316" s="163"/>
      <c r="D316" s="123"/>
      <c r="E316" s="123"/>
      <c r="F316" s="125"/>
      <c r="G316" s="125"/>
      <c r="H316" s="163"/>
      <c r="I316" s="126"/>
      <c r="J316" s="240"/>
      <c r="K316" s="242"/>
    </row>
    <row r="317">
      <c r="A317" s="121"/>
      <c r="B317" s="122"/>
      <c r="C317" s="163"/>
      <c r="D317" s="123"/>
      <c r="E317" s="123"/>
      <c r="F317" s="125"/>
      <c r="G317" s="125"/>
      <c r="H317" s="163"/>
      <c r="I317" s="126"/>
      <c r="J317" s="240"/>
      <c r="K317" s="242"/>
    </row>
    <row r="318">
      <c r="A318" s="121"/>
      <c r="B318" s="122"/>
      <c r="C318" s="163"/>
      <c r="D318" s="123"/>
      <c r="E318" s="123"/>
      <c r="F318" s="125"/>
      <c r="G318" s="125"/>
      <c r="H318" s="163"/>
      <c r="I318" s="126"/>
      <c r="J318" s="240"/>
      <c r="K318" s="242"/>
    </row>
    <row r="319">
      <c r="A319" s="121"/>
      <c r="B319" s="122"/>
      <c r="C319" s="163"/>
      <c r="D319" s="123"/>
      <c r="E319" s="123"/>
      <c r="F319" s="125"/>
      <c r="G319" s="125"/>
      <c r="H319" s="163"/>
      <c r="I319" s="126"/>
      <c r="J319" s="240"/>
      <c r="K319" s="242"/>
    </row>
    <row r="320">
      <c r="A320" s="121"/>
      <c r="B320" s="122"/>
      <c r="C320" s="163"/>
      <c r="D320" s="123"/>
      <c r="E320" s="123"/>
      <c r="F320" s="125"/>
      <c r="G320" s="125"/>
      <c r="H320" s="163"/>
      <c r="I320" s="126"/>
      <c r="J320" s="240"/>
      <c r="K320" s="242"/>
    </row>
    <row r="321">
      <c r="A321" s="121"/>
      <c r="B321" s="122"/>
      <c r="C321" s="163"/>
      <c r="D321" s="123"/>
      <c r="E321" s="123"/>
      <c r="F321" s="125"/>
      <c r="G321" s="125"/>
      <c r="H321" s="163"/>
      <c r="I321" s="126"/>
      <c r="J321" s="240"/>
      <c r="K321" s="242"/>
    </row>
    <row r="322">
      <c r="A322" s="121"/>
      <c r="B322" s="122"/>
      <c r="C322" s="163"/>
      <c r="D322" s="123"/>
      <c r="E322" s="123"/>
      <c r="F322" s="125"/>
      <c r="G322" s="125"/>
      <c r="H322" s="163"/>
      <c r="I322" s="126"/>
      <c r="J322" s="240"/>
      <c r="K322" s="242"/>
    </row>
    <row r="323">
      <c r="A323" s="121"/>
      <c r="B323" s="122"/>
      <c r="C323" s="163"/>
      <c r="D323" s="123"/>
      <c r="E323" s="123"/>
      <c r="F323" s="125"/>
      <c r="G323" s="125"/>
      <c r="H323" s="163"/>
      <c r="I323" s="126"/>
      <c r="J323" s="240"/>
      <c r="K323" s="242"/>
    </row>
    <row r="324">
      <c r="A324" s="121"/>
      <c r="B324" s="122"/>
      <c r="C324" s="163"/>
      <c r="D324" s="123"/>
      <c r="E324" s="123"/>
      <c r="F324" s="125"/>
      <c r="G324" s="125"/>
      <c r="H324" s="163"/>
      <c r="I324" s="126"/>
      <c r="J324" s="240"/>
      <c r="K324" s="242"/>
    </row>
    <row r="325">
      <c r="A325" s="121"/>
      <c r="B325" s="122"/>
      <c r="C325" s="163"/>
      <c r="D325" s="123"/>
      <c r="E325" s="123"/>
      <c r="F325" s="125"/>
      <c r="G325" s="125"/>
      <c r="H325" s="163"/>
      <c r="I325" s="126"/>
      <c r="J325" s="240"/>
      <c r="K325" s="242"/>
    </row>
    <row r="326">
      <c r="A326" s="121"/>
      <c r="B326" s="122"/>
      <c r="C326" s="163"/>
      <c r="D326" s="123"/>
      <c r="E326" s="123"/>
      <c r="F326" s="125"/>
      <c r="G326" s="125"/>
      <c r="H326" s="163"/>
      <c r="I326" s="126"/>
      <c r="J326" s="240"/>
      <c r="K326" s="242"/>
    </row>
    <row r="327">
      <c r="A327" s="121"/>
      <c r="B327" s="122"/>
      <c r="C327" s="163"/>
      <c r="D327" s="123"/>
      <c r="E327" s="123"/>
      <c r="F327" s="125"/>
      <c r="G327" s="125"/>
      <c r="H327" s="163"/>
      <c r="I327" s="126"/>
      <c r="J327" s="240"/>
      <c r="K327" s="242"/>
    </row>
    <row r="328">
      <c r="A328" s="121"/>
      <c r="B328" s="122"/>
      <c r="C328" s="163"/>
      <c r="D328" s="123"/>
      <c r="E328" s="123"/>
      <c r="F328" s="125"/>
      <c r="G328" s="125"/>
      <c r="H328" s="163"/>
      <c r="I328" s="126"/>
      <c r="J328" s="240"/>
      <c r="K328" s="242"/>
    </row>
    <row r="329">
      <c r="A329" s="121"/>
      <c r="B329" s="122"/>
      <c r="C329" s="163"/>
      <c r="D329" s="123"/>
      <c r="E329" s="123"/>
      <c r="F329" s="125"/>
      <c r="G329" s="125"/>
      <c r="H329" s="163"/>
      <c r="I329" s="126"/>
      <c r="J329" s="240"/>
      <c r="K329" s="242"/>
    </row>
    <row r="330">
      <c r="A330" s="121"/>
      <c r="B330" s="122"/>
      <c r="C330" s="163"/>
      <c r="D330" s="123"/>
      <c r="E330" s="123"/>
      <c r="F330" s="125"/>
      <c r="G330" s="125"/>
      <c r="H330" s="163"/>
      <c r="I330" s="126"/>
      <c r="J330" s="240"/>
      <c r="K330" s="242"/>
    </row>
    <row r="331">
      <c r="A331" s="121"/>
      <c r="B331" s="122"/>
      <c r="C331" s="163"/>
      <c r="D331" s="123"/>
      <c r="E331" s="123"/>
      <c r="F331" s="125"/>
      <c r="G331" s="125"/>
      <c r="H331" s="163"/>
      <c r="I331" s="126"/>
      <c r="J331" s="240"/>
      <c r="K331" s="242"/>
    </row>
    <row r="332">
      <c r="A332" s="121"/>
      <c r="B332" s="122"/>
      <c r="C332" s="163"/>
      <c r="D332" s="123"/>
      <c r="E332" s="123"/>
      <c r="F332" s="125"/>
      <c r="G332" s="125"/>
      <c r="H332" s="163"/>
      <c r="I332" s="126"/>
      <c r="J332" s="240"/>
      <c r="K332" s="242"/>
    </row>
    <row r="333">
      <c r="A333" s="121"/>
      <c r="B333" s="122"/>
      <c r="C333" s="163"/>
      <c r="D333" s="123"/>
      <c r="E333" s="123"/>
      <c r="F333" s="125"/>
      <c r="G333" s="125"/>
      <c r="H333" s="163"/>
      <c r="I333" s="126"/>
      <c r="J333" s="240"/>
      <c r="K333" s="242"/>
    </row>
    <row r="334">
      <c r="A334" s="121"/>
      <c r="B334" s="122"/>
      <c r="C334" s="163"/>
      <c r="D334" s="123"/>
      <c r="E334" s="123"/>
      <c r="F334" s="125"/>
      <c r="G334" s="125"/>
      <c r="H334" s="163"/>
      <c r="I334" s="126"/>
      <c r="J334" s="240"/>
      <c r="K334" s="242"/>
    </row>
    <row r="335">
      <c r="A335" s="121"/>
      <c r="B335" s="122"/>
      <c r="C335" s="163"/>
      <c r="D335" s="123"/>
      <c r="E335" s="123"/>
      <c r="F335" s="125"/>
      <c r="G335" s="125"/>
      <c r="H335" s="163"/>
      <c r="I335" s="126"/>
      <c r="J335" s="240"/>
      <c r="K335" s="242"/>
    </row>
    <row r="336">
      <c r="A336" s="121"/>
      <c r="B336" s="122"/>
      <c r="C336" s="163"/>
      <c r="D336" s="123"/>
      <c r="E336" s="123"/>
      <c r="F336" s="125"/>
      <c r="G336" s="125"/>
      <c r="H336" s="163"/>
      <c r="I336" s="126"/>
      <c r="J336" s="240"/>
      <c r="K336" s="242"/>
    </row>
    <row r="337">
      <c r="A337" s="121"/>
      <c r="B337" s="122"/>
      <c r="C337" s="163"/>
      <c r="D337" s="123"/>
      <c r="E337" s="123"/>
      <c r="F337" s="125"/>
      <c r="G337" s="125"/>
      <c r="H337" s="163"/>
      <c r="I337" s="126"/>
      <c r="J337" s="240"/>
      <c r="K337" s="242"/>
    </row>
    <row r="338">
      <c r="A338" s="121"/>
      <c r="B338" s="122"/>
      <c r="C338" s="163"/>
      <c r="D338" s="123"/>
      <c r="E338" s="123"/>
      <c r="F338" s="125"/>
      <c r="G338" s="125"/>
      <c r="H338" s="163"/>
      <c r="I338" s="126"/>
      <c r="J338" s="240"/>
      <c r="K338" s="242"/>
    </row>
    <row r="339">
      <c r="A339" s="121"/>
      <c r="B339" s="122"/>
      <c r="C339" s="163"/>
      <c r="D339" s="123"/>
      <c r="E339" s="123"/>
      <c r="F339" s="125"/>
      <c r="G339" s="125"/>
      <c r="H339" s="163"/>
      <c r="I339" s="126"/>
      <c r="J339" s="240"/>
      <c r="K339" s="242"/>
    </row>
    <row r="340">
      <c r="A340" s="121"/>
      <c r="B340" s="122"/>
      <c r="C340" s="163"/>
      <c r="D340" s="123"/>
      <c r="E340" s="123"/>
      <c r="F340" s="125"/>
      <c r="G340" s="125"/>
      <c r="H340" s="163"/>
      <c r="I340" s="126"/>
      <c r="J340" s="240"/>
      <c r="K340" s="242"/>
    </row>
    <row r="341">
      <c r="A341" s="121"/>
      <c r="B341" s="122"/>
      <c r="C341" s="163"/>
      <c r="D341" s="123"/>
      <c r="E341" s="123"/>
      <c r="F341" s="125"/>
      <c r="G341" s="125"/>
      <c r="H341" s="163"/>
      <c r="I341" s="126"/>
      <c r="J341" s="240"/>
      <c r="K341" s="242"/>
    </row>
    <row r="342">
      <c r="A342" s="121"/>
      <c r="B342" s="122"/>
      <c r="C342" s="163"/>
      <c r="D342" s="123"/>
      <c r="E342" s="123"/>
      <c r="F342" s="125"/>
      <c r="G342" s="125"/>
      <c r="H342" s="163"/>
      <c r="I342" s="126"/>
      <c r="J342" s="240"/>
      <c r="K342" s="242"/>
    </row>
    <row r="343">
      <c r="A343" s="121"/>
      <c r="B343" s="122"/>
      <c r="C343" s="163"/>
      <c r="D343" s="123"/>
      <c r="E343" s="123"/>
      <c r="F343" s="125"/>
      <c r="G343" s="125"/>
      <c r="H343" s="163"/>
      <c r="I343" s="126"/>
      <c r="J343" s="240"/>
      <c r="K343" s="242"/>
    </row>
    <row r="344">
      <c r="A344" s="121"/>
      <c r="B344" s="122"/>
      <c r="C344" s="163"/>
      <c r="D344" s="123"/>
      <c r="E344" s="123"/>
      <c r="F344" s="125"/>
      <c r="G344" s="125"/>
      <c r="H344" s="163"/>
      <c r="I344" s="126"/>
      <c r="J344" s="240"/>
      <c r="K344" s="242"/>
    </row>
    <row r="345">
      <c r="A345" s="121"/>
      <c r="B345" s="122"/>
      <c r="C345" s="163"/>
      <c r="D345" s="123"/>
      <c r="E345" s="123"/>
      <c r="F345" s="125"/>
      <c r="G345" s="125"/>
      <c r="H345" s="163"/>
      <c r="I345" s="126"/>
      <c r="J345" s="240"/>
      <c r="K345" s="242"/>
    </row>
    <row r="346">
      <c r="A346" s="121"/>
      <c r="B346" s="122"/>
      <c r="C346" s="163"/>
      <c r="D346" s="123"/>
      <c r="E346" s="123"/>
      <c r="F346" s="125"/>
      <c r="G346" s="125"/>
      <c r="H346" s="163"/>
      <c r="I346" s="126"/>
      <c r="J346" s="240"/>
      <c r="K346" s="242"/>
    </row>
    <row r="347">
      <c r="A347" s="121"/>
      <c r="B347" s="122"/>
      <c r="C347" s="163"/>
      <c r="D347" s="123"/>
      <c r="E347" s="123"/>
      <c r="F347" s="125"/>
      <c r="G347" s="125"/>
      <c r="H347" s="163"/>
      <c r="I347" s="126"/>
      <c r="J347" s="240"/>
      <c r="K347" s="242"/>
    </row>
    <row r="348">
      <c r="A348" s="121"/>
      <c r="B348" s="122"/>
      <c r="C348" s="163"/>
      <c r="D348" s="123"/>
      <c r="E348" s="123"/>
      <c r="F348" s="125"/>
      <c r="G348" s="125"/>
      <c r="H348" s="163"/>
      <c r="I348" s="126"/>
      <c r="J348" s="240"/>
      <c r="K348" s="242"/>
    </row>
    <row r="349">
      <c r="A349" s="121"/>
      <c r="B349" s="122"/>
      <c r="C349" s="163"/>
      <c r="D349" s="123"/>
      <c r="E349" s="123"/>
      <c r="F349" s="125"/>
      <c r="G349" s="125"/>
      <c r="H349" s="163"/>
      <c r="I349" s="126"/>
      <c r="J349" s="240"/>
      <c r="K349" s="242"/>
    </row>
    <row r="350">
      <c r="A350" s="121"/>
      <c r="B350" s="122"/>
      <c r="C350" s="163"/>
      <c r="D350" s="123"/>
      <c r="E350" s="123"/>
      <c r="F350" s="125"/>
      <c r="G350" s="125"/>
      <c r="H350" s="163"/>
      <c r="I350" s="126"/>
      <c r="J350" s="240"/>
      <c r="K350" s="242"/>
    </row>
    <row r="351">
      <c r="A351" s="121"/>
      <c r="B351" s="122"/>
      <c r="C351" s="163"/>
      <c r="D351" s="123"/>
      <c r="E351" s="123"/>
      <c r="F351" s="125"/>
      <c r="G351" s="125"/>
      <c r="H351" s="163"/>
      <c r="I351" s="126"/>
      <c r="J351" s="240"/>
      <c r="K351" s="242"/>
    </row>
    <row r="352">
      <c r="A352" s="121"/>
      <c r="B352" s="122"/>
      <c r="C352" s="163"/>
      <c r="D352" s="123"/>
      <c r="E352" s="123"/>
      <c r="F352" s="125"/>
      <c r="G352" s="125"/>
      <c r="H352" s="163"/>
      <c r="I352" s="126"/>
      <c r="J352" s="240"/>
      <c r="K352" s="242"/>
    </row>
    <row r="353">
      <c r="A353" s="121"/>
      <c r="B353" s="122"/>
      <c r="C353" s="163"/>
      <c r="D353" s="123"/>
      <c r="E353" s="123"/>
      <c r="F353" s="125"/>
      <c r="G353" s="125"/>
      <c r="H353" s="163"/>
      <c r="I353" s="126"/>
      <c r="J353" s="240"/>
      <c r="K353" s="242"/>
    </row>
    <row r="354">
      <c r="A354" s="121"/>
      <c r="B354" s="122"/>
      <c r="C354" s="163"/>
      <c r="D354" s="123"/>
      <c r="E354" s="123"/>
      <c r="F354" s="125"/>
      <c r="G354" s="125"/>
      <c r="H354" s="163"/>
      <c r="I354" s="126"/>
      <c r="J354" s="240"/>
      <c r="K354" s="242"/>
    </row>
    <row r="355">
      <c r="A355" s="121"/>
      <c r="B355" s="122"/>
      <c r="C355" s="163"/>
      <c r="D355" s="123"/>
      <c r="E355" s="123"/>
      <c r="F355" s="125"/>
      <c r="G355" s="125"/>
      <c r="H355" s="163"/>
      <c r="I355" s="126"/>
      <c r="J355" s="240"/>
      <c r="K355" s="242"/>
    </row>
    <row r="356">
      <c r="A356" s="121"/>
      <c r="B356" s="122"/>
      <c r="C356" s="163"/>
      <c r="D356" s="123"/>
      <c r="E356" s="123"/>
      <c r="F356" s="125"/>
      <c r="G356" s="125"/>
      <c r="H356" s="163"/>
      <c r="I356" s="126"/>
      <c r="J356" s="240"/>
      <c r="K356" s="242"/>
    </row>
    <row r="357">
      <c r="A357" s="121"/>
      <c r="B357" s="122"/>
      <c r="C357" s="163"/>
      <c r="D357" s="123"/>
      <c r="E357" s="123"/>
      <c r="F357" s="125"/>
      <c r="G357" s="125"/>
      <c r="H357" s="163"/>
      <c r="I357" s="126"/>
      <c r="J357" s="240"/>
      <c r="K357" s="242"/>
    </row>
    <row r="358">
      <c r="A358" s="121"/>
      <c r="B358" s="122"/>
      <c r="C358" s="163"/>
      <c r="D358" s="123"/>
      <c r="E358" s="123"/>
      <c r="F358" s="125"/>
      <c r="G358" s="125"/>
      <c r="H358" s="163"/>
      <c r="I358" s="126"/>
      <c r="J358" s="240"/>
      <c r="K358" s="242"/>
    </row>
    <row r="359">
      <c r="A359" s="121"/>
      <c r="B359" s="122"/>
      <c r="C359" s="163"/>
      <c r="D359" s="123"/>
      <c r="E359" s="123"/>
      <c r="F359" s="125"/>
      <c r="G359" s="125"/>
      <c r="H359" s="163"/>
      <c r="I359" s="126"/>
      <c r="J359" s="240"/>
      <c r="K359" s="242"/>
    </row>
    <row r="360">
      <c r="A360" s="121"/>
      <c r="B360" s="122"/>
      <c r="C360" s="163"/>
      <c r="D360" s="123"/>
      <c r="E360" s="123"/>
      <c r="F360" s="125"/>
      <c r="G360" s="125"/>
      <c r="H360" s="163"/>
      <c r="I360" s="126"/>
      <c r="J360" s="240"/>
      <c r="K360" s="242"/>
    </row>
    <row r="361">
      <c r="A361" s="121"/>
      <c r="B361" s="122"/>
      <c r="C361" s="163"/>
      <c r="D361" s="123"/>
      <c r="E361" s="123"/>
      <c r="F361" s="125"/>
      <c r="G361" s="125"/>
      <c r="H361" s="163"/>
      <c r="I361" s="126"/>
      <c r="J361" s="240"/>
      <c r="K361" s="242"/>
    </row>
    <row r="362">
      <c r="A362" s="121"/>
      <c r="B362" s="122"/>
      <c r="C362" s="163"/>
      <c r="D362" s="123"/>
      <c r="E362" s="123"/>
      <c r="F362" s="125"/>
      <c r="G362" s="125"/>
      <c r="H362" s="163"/>
      <c r="I362" s="126"/>
      <c r="J362" s="240"/>
      <c r="K362" s="242"/>
    </row>
    <row r="363">
      <c r="A363" s="121"/>
      <c r="B363" s="122"/>
      <c r="C363" s="163"/>
      <c r="D363" s="123"/>
      <c r="E363" s="123"/>
      <c r="F363" s="125"/>
      <c r="G363" s="125"/>
      <c r="H363" s="163"/>
      <c r="I363" s="126"/>
      <c r="J363" s="240"/>
      <c r="K363" s="242"/>
    </row>
    <row r="364">
      <c r="A364" s="121"/>
      <c r="B364" s="122"/>
      <c r="C364" s="163"/>
      <c r="D364" s="123"/>
      <c r="E364" s="123"/>
      <c r="F364" s="125"/>
      <c r="G364" s="125"/>
      <c r="H364" s="163"/>
      <c r="I364" s="126"/>
      <c r="J364" s="240"/>
      <c r="K364" s="242"/>
    </row>
    <row r="365">
      <c r="A365" s="121"/>
      <c r="B365" s="122"/>
      <c r="C365" s="163"/>
      <c r="D365" s="123"/>
      <c r="E365" s="123"/>
      <c r="F365" s="125"/>
      <c r="G365" s="125"/>
      <c r="H365" s="163"/>
      <c r="I365" s="126"/>
      <c r="J365" s="240"/>
      <c r="K365" s="242"/>
    </row>
    <row r="366">
      <c r="A366" s="121"/>
      <c r="B366" s="122"/>
      <c r="C366" s="163"/>
      <c r="D366" s="123"/>
      <c r="E366" s="123"/>
      <c r="F366" s="125"/>
      <c r="G366" s="125"/>
      <c r="H366" s="163"/>
      <c r="I366" s="126"/>
      <c r="J366" s="240"/>
      <c r="K366" s="242"/>
    </row>
    <row r="367">
      <c r="A367" s="121"/>
      <c r="B367" s="122"/>
      <c r="C367" s="163"/>
      <c r="D367" s="123"/>
      <c r="E367" s="123"/>
      <c r="F367" s="125"/>
      <c r="G367" s="125"/>
      <c r="H367" s="163"/>
      <c r="I367" s="126"/>
      <c r="J367" s="240"/>
      <c r="K367" s="242"/>
    </row>
    <row r="368">
      <c r="A368" s="121"/>
      <c r="B368" s="122"/>
      <c r="C368" s="163"/>
      <c r="D368" s="123"/>
      <c r="E368" s="123"/>
      <c r="F368" s="125"/>
      <c r="G368" s="125"/>
      <c r="H368" s="163"/>
      <c r="I368" s="126"/>
      <c r="J368" s="240"/>
      <c r="K368" s="242"/>
    </row>
    <row r="369">
      <c r="A369" s="121"/>
      <c r="B369" s="122"/>
      <c r="C369" s="163"/>
      <c r="D369" s="123"/>
      <c r="E369" s="123"/>
      <c r="F369" s="125"/>
      <c r="G369" s="125"/>
      <c r="H369" s="163"/>
      <c r="I369" s="126"/>
      <c r="J369" s="240"/>
      <c r="K369" s="242"/>
    </row>
    <row r="370">
      <c r="A370" s="121"/>
      <c r="B370" s="122"/>
      <c r="C370" s="163"/>
      <c r="D370" s="123"/>
      <c r="E370" s="123"/>
      <c r="F370" s="125"/>
      <c r="G370" s="125"/>
      <c r="H370" s="163"/>
      <c r="I370" s="126"/>
      <c r="J370" s="240"/>
      <c r="K370" s="242"/>
    </row>
    <row r="371">
      <c r="A371" s="121"/>
      <c r="B371" s="122"/>
      <c r="C371" s="163"/>
      <c r="D371" s="123"/>
      <c r="E371" s="123"/>
      <c r="F371" s="125"/>
      <c r="G371" s="125"/>
      <c r="H371" s="163"/>
      <c r="I371" s="126"/>
      <c r="J371" s="240"/>
      <c r="K371" s="242"/>
    </row>
    <row r="372">
      <c r="A372" s="121"/>
      <c r="B372" s="122"/>
      <c r="C372" s="163"/>
      <c r="D372" s="123"/>
      <c r="E372" s="123"/>
      <c r="F372" s="125"/>
      <c r="G372" s="125"/>
      <c r="H372" s="163"/>
      <c r="I372" s="126"/>
      <c r="J372" s="240"/>
      <c r="K372" s="242"/>
    </row>
    <row r="373">
      <c r="A373" s="121"/>
      <c r="B373" s="122"/>
      <c r="C373" s="163"/>
      <c r="D373" s="123"/>
      <c r="E373" s="123"/>
      <c r="F373" s="125"/>
      <c r="G373" s="125"/>
      <c r="H373" s="163"/>
      <c r="I373" s="126"/>
      <c r="J373" s="240"/>
      <c r="K373" s="242"/>
    </row>
    <row r="374">
      <c r="A374" s="121"/>
      <c r="B374" s="122"/>
      <c r="C374" s="163"/>
      <c r="D374" s="123"/>
      <c r="E374" s="123"/>
      <c r="F374" s="125"/>
      <c r="G374" s="125"/>
      <c r="H374" s="163"/>
      <c r="I374" s="126"/>
      <c r="J374" s="240"/>
      <c r="K374" s="242"/>
    </row>
    <row r="375">
      <c r="A375" s="121"/>
      <c r="B375" s="122"/>
      <c r="C375" s="163"/>
      <c r="D375" s="123"/>
      <c r="E375" s="123"/>
      <c r="F375" s="125"/>
      <c r="G375" s="125"/>
      <c r="H375" s="163"/>
      <c r="I375" s="126"/>
      <c r="J375" s="240"/>
      <c r="K375" s="242"/>
    </row>
    <row r="376">
      <c r="A376" s="121"/>
      <c r="B376" s="122"/>
      <c r="C376" s="163"/>
      <c r="D376" s="123"/>
      <c r="E376" s="123"/>
      <c r="F376" s="125"/>
      <c r="G376" s="125"/>
      <c r="H376" s="163"/>
      <c r="I376" s="126"/>
      <c r="J376" s="240"/>
      <c r="K376" s="242"/>
    </row>
    <row r="377">
      <c r="A377" s="121"/>
      <c r="B377" s="122"/>
      <c r="C377" s="163"/>
      <c r="D377" s="123"/>
      <c r="E377" s="123"/>
      <c r="F377" s="125"/>
      <c r="G377" s="125"/>
      <c r="H377" s="163"/>
      <c r="I377" s="126"/>
      <c r="J377" s="240"/>
      <c r="K377" s="242"/>
    </row>
    <row r="378">
      <c r="A378" s="121"/>
      <c r="B378" s="122"/>
      <c r="C378" s="163"/>
      <c r="D378" s="123"/>
      <c r="E378" s="123"/>
      <c r="F378" s="125"/>
      <c r="G378" s="125"/>
      <c r="H378" s="163"/>
      <c r="I378" s="126"/>
      <c r="J378" s="240"/>
      <c r="K378" s="242"/>
    </row>
    <row r="379">
      <c r="A379" s="121"/>
      <c r="B379" s="122"/>
      <c r="C379" s="163"/>
      <c r="D379" s="123"/>
      <c r="E379" s="123"/>
      <c r="F379" s="125"/>
      <c r="G379" s="125"/>
      <c r="H379" s="163"/>
      <c r="I379" s="126"/>
      <c r="J379" s="240"/>
      <c r="K379" s="242"/>
    </row>
    <row r="380">
      <c r="A380" s="121"/>
      <c r="B380" s="122"/>
      <c r="C380" s="163"/>
      <c r="D380" s="123"/>
      <c r="E380" s="123"/>
      <c r="F380" s="125"/>
      <c r="G380" s="125"/>
      <c r="H380" s="163"/>
      <c r="I380" s="126"/>
      <c r="J380" s="240"/>
      <c r="K380" s="242"/>
    </row>
    <row r="381">
      <c r="A381" s="121"/>
      <c r="B381" s="122"/>
      <c r="C381" s="163"/>
      <c r="D381" s="123"/>
      <c r="E381" s="123"/>
      <c r="F381" s="125"/>
      <c r="G381" s="125"/>
      <c r="H381" s="163"/>
      <c r="I381" s="126"/>
      <c r="J381" s="240"/>
      <c r="K381" s="242"/>
    </row>
    <row r="382">
      <c r="A382" s="121"/>
      <c r="B382" s="122"/>
      <c r="C382" s="163"/>
      <c r="D382" s="123"/>
      <c r="E382" s="123"/>
      <c r="F382" s="125"/>
      <c r="G382" s="125"/>
      <c r="H382" s="163"/>
      <c r="I382" s="126"/>
      <c r="J382" s="240"/>
      <c r="K382" s="242"/>
    </row>
    <row r="383">
      <c r="A383" s="121"/>
      <c r="B383" s="122"/>
      <c r="C383" s="163"/>
      <c r="D383" s="123"/>
      <c r="E383" s="123"/>
      <c r="F383" s="125"/>
      <c r="G383" s="125"/>
      <c r="H383" s="163"/>
      <c r="I383" s="126"/>
      <c r="J383" s="240"/>
      <c r="K383" s="242"/>
    </row>
    <row r="384">
      <c r="A384" s="121"/>
      <c r="B384" s="122"/>
      <c r="C384" s="163"/>
      <c r="D384" s="123"/>
      <c r="E384" s="123"/>
      <c r="F384" s="125"/>
      <c r="G384" s="125"/>
      <c r="H384" s="163"/>
      <c r="I384" s="126"/>
      <c r="J384" s="240"/>
      <c r="K384" s="242"/>
    </row>
    <row r="385">
      <c r="A385" s="121"/>
      <c r="B385" s="122"/>
      <c r="C385" s="163"/>
      <c r="D385" s="123"/>
      <c r="E385" s="123"/>
      <c r="F385" s="125"/>
      <c r="G385" s="125"/>
      <c r="H385" s="163"/>
      <c r="I385" s="126"/>
      <c r="J385" s="240"/>
      <c r="K385" s="242"/>
    </row>
    <row r="386">
      <c r="A386" s="121"/>
      <c r="B386" s="122"/>
      <c r="C386" s="163"/>
      <c r="D386" s="123"/>
      <c r="E386" s="123"/>
      <c r="F386" s="125"/>
      <c r="G386" s="125"/>
      <c r="H386" s="163"/>
      <c r="I386" s="126"/>
      <c r="J386" s="240"/>
      <c r="K386" s="242"/>
    </row>
    <row r="387">
      <c r="A387" s="121"/>
      <c r="B387" s="122"/>
      <c r="C387" s="163"/>
      <c r="D387" s="123"/>
      <c r="E387" s="123"/>
      <c r="F387" s="125"/>
      <c r="G387" s="125"/>
      <c r="H387" s="163"/>
      <c r="I387" s="126"/>
      <c r="J387" s="240"/>
      <c r="K387" s="242"/>
    </row>
    <row r="388">
      <c r="A388" s="121"/>
      <c r="B388" s="122"/>
      <c r="C388" s="163"/>
      <c r="D388" s="123"/>
      <c r="E388" s="123"/>
      <c r="F388" s="125"/>
      <c r="G388" s="125"/>
      <c r="H388" s="163"/>
      <c r="I388" s="126"/>
      <c r="J388" s="240"/>
      <c r="K388" s="242"/>
    </row>
    <row r="389">
      <c r="A389" s="121"/>
      <c r="B389" s="122"/>
      <c r="C389" s="163"/>
      <c r="D389" s="123"/>
      <c r="E389" s="123"/>
      <c r="F389" s="125"/>
      <c r="G389" s="125"/>
      <c r="H389" s="163"/>
      <c r="I389" s="126"/>
      <c r="J389" s="240"/>
      <c r="K389" s="242"/>
    </row>
    <row r="390">
      <c r="A390" s="121"/>
      <c r="B390" s="122"/>
      <c r="C390" s="163"/>
      <c r="D390" s="123"/>
      <c r="E390" s="123"/>
      <c r="F390" s="125"/>
      <c r="G390" s="125"/>
      <c r="H390" s="163"/>
      <c r="I390" s="126"/>
      <c r="J390" s="240"/>
      <c r="K390" s="242"/>
    </row>
    <row r="391">
      <c r="A391" s="121"/>
      <c r="B391" s="122"/>
      <c r="C391" s="163"/>
      <c r="D391" s="123"/>
      <c r="E391" s="123"/>
      <c r="F391" s="125"/>
      <c r="G391" s="125"/>
      <c r="H391" s="163"/>
      <c r="I391" s="126"/>
      <c r="J391" s="240"/>
      <c r="K391" s="242"/>
    </row>
    <row r="392">
      <c r="A392" s="121"/>
      <c r="B392" s="122"/>
      <c r="C392" s="163"/>
      <c r="D392" s="123"/>
      <c r="E392" s="123"/>
      <c r="F392" s="125"/>
      <c r="G392" s="125"/>
      <c r="H392" s="163"/>
      <c r="I392" s="126"/>
      <c r="J392" s="240"/>
      <c r="K392" s="242"/>
    </row>
    <row r="393">
      <c r="A393" s="121"/>
      <c r="B393" s="122"/>
      <c r="C393" s="163"/>
      <c r="D393" s="123"/>
      <c r="E393" s="123"/>
      <c r="F393" s="125"/>
      <c r="G393" s="125"/>
      <c r="H393" s="163"/>
      <c r="I393" s="126"/>
      <c r="J393" s="240"/>
      <c r="K393" s="242"/>
    </row>
    <row r="394">
      <c r="A394" s="121"/>
      <c r="B394" s="122"/>
      <c r="C394" s="163"/>
      <c r="D394" s="123"/>
      <c r="E394" s="123"/>
      <c r="F394" s="125"/>
      <c r="G394" s="125"/>
      <c r="H394" s="163"/>
      <c r="I394" s="126"/>
      <c r="J394" s="240"/>
      <c r="K394" s="242"/>
    </row>
    <row r="395">
      <c r="A395" s="121"/>
      <c r="B395" s="122"/>
      <c r="C395" s="163"/>
      <c r="D395" s="123"/>
      <c r="E395" s="123"/>
      <c r="F395" s="125"/>
      <c r="G395" s="125"/>
      <c r="H395" s="163"/>
      <c r="I395" s="126"/>
      <c r="J395" s="240"/>
      <c r="K395" s="242"/>
    </row>
    <row r="396">
      <c r="A396" s="121"/>
      <c r="B396" s="122"/>
      <c r="C396" s="163"/>
      <c r="D396" s="123"/>
      <c r="E396" s="123"/>
      <c r="F396" s="125"/>
      <c r="G396" s="125"/>
      <c r="H396" s="163"/>
      <c r="I396" s="126"/>
      <c r="J396" s="240"/>
      <c r="K396" s="242"/>
    </row>
    <row r="397">
      <c r="A397" s="121"/>
      <c r="B397" s="122"/>
      <c r="C397" s="163"/>
      <c r="D397" s="123"/>
      <c r="E397" s="123"/>
      <c r="F397" s="125"/>
      <c r="G397" s="125"/>
      <c r="H397" s="163"/>
      <c r="I397" s="126"/>
      <c r="J397" s="240"/>
      <c r="K397" s="242"/>
    </row>
    <row r="398">
      <c r="A398" s="121"/>
      <c r="B398" s="122"/>
      <c r="C398" s="163"/>
      <c r="D398" s="123"/>
      <c r="E398" s="123"/>
      <c r="F398" s="125"/>
      <c r="G398" s="125"/>
      <c r="H398" s="163"/>
      <c r="I398" s="126"/>
      <c r="J398" s="240"/>
      <c r="K398" s="242"/>
    </row>
    <row r="399">
      <c r="A399" s="121"/>
      <c r="B399" s="122"/>
      <c r="C399" s="163"/>
      <c r="D399" s="123"/>
      <c r="E399" s="123"/>
      <c r="F399" s="125"/>
      <c r="G399" s="125"/>
      <c r="H399" s="163"/>
      <c r="I399" s="126"/>
      <c r="J399" s="240"/>
      <c r="K399" s="242"/>
    </row>
    <row r="400">
      <c r="A400" s="121"/>
      <c r="B400" s="122"/>
      <c r="C400" s="163"/>
      <c r="D400" s="123"/>
      <c r="E400" s="123"/>
      <c r="F400" s="125"/>
      <c r="G400" s="125"/>
      <c r="H400" s="163"/>
      <c r="I400" s="126"/>
      <c r="J400" s="240"/>
      <c r="K400" s="242"/>
    </row>
    <row r="401">
      <c r="A401" s="121"/>
      <c r="B401" s="122"/>
      <c r="C401" s="163"/>
      <c r="D401" s="123"/>
      <c r="E401" s="123"/>
      <c r="F401" s="125"/>
      <c r="G401" s="125"/>
      <c r="H401" s="163"/>
      <c r="I401" s="126"/>
      <c r="J401" s="240"/>
      <c r="K401" s="242"/>
    </row>
    <row r="402">
      <c r="A402" s="121"/>
      <c r="B402" s="122"/>
      <c r="C402" s="163"/>
      <c r="D402" s="123"/>
      <c r="E402" s="123"/>
      <c r="F402" s="125"/>
      <c r="G402" s="125"/>
      <c r="H402" s="163"/>
      <c r="I402" s="126"/>
      <c r="J402" s="240"/>
      <c r="K402" s="242"/>
    </row>
    <row r="403">
      <c r="A403" s="121"/>
      <c r="B403" s="122"/>
      <c r="C403" s="163"/>
      <c r="D403" s="123"/>
      <c r="E403" s="123"/>
      <c r="F403" s="125"/>
      <c r="G403" s="125"/>
      <c r="H403" s="163"/>
      <c r="I403" s="126"/>
      <c r="J403" s="240"/>
      <c r="K403" s="242"/>
    </row>
    <row r="404">
      <c r="A404" s="121"/>
      <c r="B404" s="122"/>
      <c r="C404" s="163"/>
      <c r="D404" s="123"/>
      <c r="E404" s="123"/>
      <c r="F404" s="125"/>
      <c r="G404" s="125"/>
      <c r="H404" s="163"/>
      <c r="I404" s="126"/>
      <c r="J404" s="240"/>
      <c r="K404" s="242"/>
    </row>
    <row r="405">
      <c r="A405" s="121"/>
      <c r="B405" s="122"/>
      <c r="C405" s="163"/>
      <c r="D405" s="123"/>
      <c r="E405" s="123"/>
      <c r="F405" s="125"/>
      <c r="G405" s="125"/>
      <c r="H405" s="163"/>
      <c r="I405" s="126"/>
      <c r="J405" s="240"/>
      <c r="K405" s="242"/>
    </row>
    <row r="406">
      <c r="A406" s="121"/>
      <c r="B406" s="122"/>
      <c r="C406" s="163"/>
      <c r="D406" s="123"/>
      <c r="E406" s="123"/>
      <c r="F406" s="125"/>
      <c r="G406" s="125"/>
      <c r="H406" s="163"/>
      <c r="I406" s="126"/>
      <c r="J406" s="240"/>
      <c r="K406" s="242"/>
    </row>
    <row r="407">
      <c r="A407" s="121"/>
      <c r="B407" s="122"/>
      <c r="C407" s="163"/>
      <c r="D407" s="123"/>
      <c r="E407" s="123"/>
      <c r="F407" s="125"/>
      <c r="G407" s="125"/>
      <c r="H407" s="163"/>
      <c r="I407" s="126"/>
      <c r="J407" s="240"/>
      <c r="K407" s="242"/>
    </row>
    <row r="408">
      <c r="A408" s="121"/>
      <c r="B408" s="122"/>
      <c r="C408" s="163"/>
      <c r="D408" s="123"/>
      <c r="E408" s="123"/>
      <c r="F408" s="125"/>
      <c r="G408" s="125"/>
      <c r="H408" s="163"/>
      <c r="I408" s="126"/>
      <c r="J408" s="240"/>
      <c r="K408" s="242"/>
    </row>
    <row r="409">
      <c r="A409" s="121"/>
      <c r="B409" s="122"/>
      <c r="C409" s="163"/>
      <c r="D409" s="123"/>
      <c r="E409" s="123"/>
      <c r="F409" s="125"/>
      <c r="G409" s="125"/>
      <c r="H409" s="163"/>
      <c r="I409" s="126"/>
      <c r="J409" s="240"/>
      <c r="K409" s="242"/>
    </row>
    <row r="410">
      <c r="A410" s="121"/>
      <c r="B410" s="122"/>
      <c r="C410" s="163"/>
      <c r="D410" s="123"/>
      <c r="E410" s="123"/>
      <c r="F410" s="125"/>
      <c r="G410" s="125"/>
      <c r="H410" s="163"/>
      <c r="I410" s="126"/>
      <c r="J410" s="240"/>
      <c r="K410" s="242"/>
    </row>
    <row r="411">
      <c r="A411" s="121"/>
      <c r="B411" s="122"/>
      <c r="C411" s="163"/>
      <c r="D411" s="123"/>
      <c r="E411" s="123"/>
      <c r="F411" s="125"/>
      <c r="G411" s="125"/>
      <c r="H411" s="163"/>
      <c r="I411" s="126"/>
      <c r="J411" s="240"/>
      <c r="K411" s="242"/>
    </row>
    <row r="412">
      <c r="A412" s="121"/>
      <c r="B412" s="122"/>
      <c r="C412" s="163"/>
      <c r="D412" s="123"/>
      <c r="E412" s="123"/>
      <c r="F412" s="125"/>
      <c r="G412" s="125"/>
      <c r="H412" s="163"/>
      <c r="I412" s="126"/>
      <c r="J412" s="240"/>
      <c r="K412" s="242"/>
    </row>
    <row r="413">
      <c r="A413" s="121"/>
      <c r="B413" s="122"/>
      <c r="C413" s="163"/>
      <c r="D413" s="123"/>
      <c r="E413" s="123"/>
      <c r="F413" s="125"/>
      <c r="G413" s="125"/>
      <c r="H413" s="163"/>
      <c r="I413" s="126"/>
      <c r="J413" s="240"/>
      <c r="K413" s="242"/>
    </row>
    <row r="414">
      <c r="A414" s="121"/>
      <c r="B414" s="122"/>
      <c r="C414" s="163"/>
      <c r="D414" s="123"/>
      <c r="E414" s="123"/>
      <c r="F414" s="125"/>
      <c r="G414" s="125"/>
      <c r="H414" s="163"/>
      <c r="I414" s="126"/>
      <c r="J414" s="240"/>
      <c r="K414" s="242"/>
    </row>
    <row r="415">
      <c r="A415" s="121"/>
      <c r="B415" s="122"/>
      <c r="C415" s="163"/>
      <c r="D415" s="123"/>
      <c r="E415" s="123"/>
      <c r="F415" s="125"/>
      <c r="G415" s="125"/>
      <c r="H415" s="163"/>
      <c r="I415" s="126"/>
      <c r="J415" s="240"/>
      <c r="K415" s="242"/>
    </row>
    <row r="416">
      <c r="A416" s="121"/>
      <c r="B416" s="122"/>
      <c r="C416" s="163"/>
      <c r="D416" s="123"/>
      <c r="E416" s="123"/>
      <c r="F416" s="125"/>
      <c r="G416" s="125"/>
      <c r="H416" s="163"/>
      <c r="I416" s="126"/>
      <c r="J416" s="240"/>
      <c r="K416" s="242"/>
    </row>
    <row r="417">
      <c r="A417" s="121"/>
      <c r="B417" s="122"/>
      <c r="C417" s="163"/>
      <c r="D417" s="123"/>
      <c r="E417" s="123"/>
      <c r="F417" s="125"/>
      <c r="G417" s="125"/>
      <c r="H417" s="163"/>
      <c r="I417" s="126"/>
      <c r="J417" s="240"/>
      <c r="K417" s="242"/>
    </row>
    <row r="418">
      <c r="A418" s="121"/>
      <c r="B418" s="122"/>
      <c r="C418" s="163"/>
      <c r="D418" s="123"/>
      <c r="E418" s="123"/>
      <c r="F418" s="125"/>
      <c r="G418" s="125"/>
      <c r="H418" s="163"/>
      <c r="I418" s="126"/>
      <c r="J418" s="240"/>
      <c r="K418" s="242"/>
    </row>
    <row r="419">
      <c r="A419" s="121"/>
      <c r="B419" s="122"/>
      <c r="C419" s="163"/>
      <c r="D419" s="123"/>
      <c r="E419" s="123"/>
      <c r="F419" s="125"/>
      <c r="G419" s="125"/>
      <c r="H419" s="163"/>
      <c r="I419" s="126"/>
      <c r="J419" s="240"/>
      <c r="K419" s="242"/>
    </row>
    <row r="420">
      <c r="A420" s="121"/>
      <c r="B420" s="122"/>
      <c r="C420" s="163"/>
      <c r="D420" s="123"/>
      <c r="E420" s="123"/>
      <c r="F420" s="125"/>
      <c r="G420" s="125"/>
      <c r="H420" s="163"/>
      <c r="I420" s="126"/>
      <c r="J420" s="240"/>
      <c r="K420" s="242"/>
    </row>
    <row r="421">
      <c r="A421" s="121"/>
      <c r="B421" s="122"/>
      <c r="C421" s="163"/>
      <c r="D421" s="123"/>
      <c r="E421" s="123"/>
      <c r="F421" s="125"/>
      <c r="G421" s="125"/>
      <c r="H421" s="163"/>
      <c r="I421" s="126"/>
      <c r="J421" s="240"/>
      <c r="K421" s="242"/>
    </row>
    <row r="422">
      <c r="A422" s="121"/>
      <c r="B422" s="122"/>
      <c r="C422" s="163"/>
      <c r="D422" s="123"/>
      <c r="E422" s="123"/>
      <c r="F422" s="125"/>
      <c r="G422" s="125"/>
      <c r="H422" s="163"/>
      <c r="I422" s="126"/>
      <c r="J422" s="240"/>
      <c r="K422" s="242"/>
    </row>
    <row r="423">
      <c r="A423" s="121"/>
      <c r="B423" s="122"/>
      <c r="C423" s="163"/>
      <c r="D423" s="123"/>
      <c r="E423" s="123"/>
      <c r="F423" s="125"/>
      <c r="G423" s="125"/>
      <c r="H423" s="163"/>
      <c r="I423" s="126"/>
      <c r="J423" s="240"/>
      <c r="K423" s="242"/>
    </row>
    <row r="424">
      <c r="A424" s="121"/>
      <c r="B424" s="122"/>
      <c r="C424" s="163"/>
      <c r="D424" s="123"/>
      <c r="E424" s="123"/>
      <c r="F424" s="125"/>
      <c r="G424" s="125"/>
      <c r="H424" s="163"/>
      <c r="I424" s="126"/>
      <c r="J424" s="240"/>
      <c r="K424" s="242"/>
    </row>
    <row r="425">
      <c r="A425" s="121"/>
      <c r="B425" s="122"/>
      <c r="C425" s="163"/>
      <c r="D425" s="123"/>
      <c r="E425" s="123"/>
      <c r="F425" s="125"/>
      <c r="G425" s="125"/>
      <c r="H425" s="163"/>
      <c r="I425" s="126"/>
      <c r="J425" s="240"/>
      <c r="K425" s="242"/>
    </row>
    <row r="426">
      <c r="A426" s="121"/>
      <c r="B426" s="122"/>
      <c r="C426" s="163"/>
      <c r="D426" s="123"/>
      <c r="E426" s="123"/>
      <c r="F426" s="125"/>
      <c r="G426" s="125"/>
      <c r="H426" s="163"/>
      <c r="I426" s="126"/>
      <c r="J426" s="240"/>
      <c r="K426" s="242"/>
    </row>
    <row r="427">
      <c r="A427" s="121"/>
      <c r="B427" s="122"/>
      <c r="C427" s="163"/>
      <c r="D427" s="123"/>
      <c r="E427" s="123"/>
      <c r="F427" s="125"/>
      <c r="G427" s="125"/>
      <c r="H427" s="163"/>
      <c r="I427" s="126"/>
      <c r="J427" s="240"/>
      <c r="K427" s="242"/>
    </row>
    <row r="428">
      <c r="A428" s="121"/>
      <c r="B428" s="122"/>
      <c r="C428" s="163"/>
      <c r="D428" s="123"/>
      <c r="E428" s="123"/>
      <c r="F428" s="125"/>
      <c r="G428" s="125"/>
      <c r="H428" s="163"/>
      <c r="I428" s="126"/>
      <c r="J428" s="240"/>
      <c r="K428" s="242"/>
    </row>
    <row r="429">
      <c r="A429" s="121"/>
      <c r="B429" s="122"/>
      <c r="C429" s="163"/>
      <c r="D429" s="123"/>
      <c r="E429" s="123"/>
      <c r="F429" s="125"/>
      <c r="G429" s="125"/>
      <c r="H429" s="163"/>
      <c r="I429" s="126"/>
      <c r="J429" s="240"/>
      <c r="K429" s="242"/>
    </row>
    <row r="430">
      <c r="A430" s="121"/>
      <c r="B430" s="122"/>
      <c r="C430" s="163"/>
      <c r="D430" s="123"/>
      <c r="E430" s="123"/>
      <c r="F430" s="125"/>
      <c r="G430" s="125"/>
      <c r="H430" s="163"/>
      <c r="I430" s="126"/>
      <c r="J430" s="240"/>
      <c r="K430" s="242"/>
    </row>
    <row r="431">
      <c r="A431" s="121"/>
      <c r="B431" s="122"/>
      <c r="C431" s="163"/>
      <c r="D431" s="123"/>
      <c r="E431" s="123"/>
      <c r="F431" s="125"/>
      <c r="G431" s="125"/>
      <c r="H431" s="163"/>
      <c r="I431" s="126"/>
      <c r="J431" s="240"/>
      <c r="K431" s="242"/>
    </row>
    <row r="432">
      <c r="A432" s="121"/>
      <c r="B432" s="122"/>
      <c r="C432" s="163"/>
      <c r="D432" s="123"/>
      <c r="E432" s="123"/>
      <c r="F432" s="125"/>
      <c r="G432" s="125"/>
      <c r="H432" s="163"/>
      <c r="I432" s="126"/>
      <c r="J432" s="240"/>
      <c r="K432" s="242"/>
    </row>
    <row r="433">
      <c r="A433" s="121"/>
      <c r="B433" s="122"/>
      <c r="C433" s="163"/>
      <c r="D433" s="123"/>
      <c r="E433" s="123"/>
      <c r="F433" s="125"/>
      <c r="G433" s="125"/>
      <c r="H433" s="163"/>
      <c r="I433" s="126"/>
      <c r="J433" s="240"/>
      <c r="K433" s="242"/>
    </row>
    <row r="434">
      <c r="A434" s="121"/>
      <c r="B434" s="122"/>
      <c r="C434" s="163"/>
      <c r="D434" s="123"/>
      <c r="E434" s="123"/>
      <c r="F434" s="125"/>
      <c r="G434" s="125"/>
      <c r="H434" s="163"/>
      <c r="I434" s="126"/>
      <c r="J434" s="240"/>
      <c r="K434" s="242"/>
    </row>
    <row r="435">
      <c r="A435" s="121"/>
      <c r="B435" s="122"/>
      <c r="C435" s="163"/>
      <c r="D435" s="123"/>
      <c r="E435" s="123"/>
      <c r="F435" s="125"/>
      <c r="G435" s="125"/>
      <c r="H435" s="163"/>
      <c r="I435" s="126"/>
      <c r="J435" s="240"/>
      <c r="K435" s="242"/>
    </row>
    <row r="436">
      <c r="A436" s="121"/>
      <c r="B436" s="122"/>
      <c r="C436" s="163"/>
      <c r="D436" s="123"/>
      <c r="E436" s="123"/>
      <c r="F436" s="125"/>
      <c r="G436" s="125"/>
      <c r="H436" s="163"/>
      <c r="I436" s="126"/>
      <c r="J436" s="240"/>
      <c r="K436" s="242"/>
    </row>
    <row r="437">
      <c r="A437" s="121"/>
      <c r="B437" s="122"/>
      <c r="C437" s="163"/>
      <c r="D437" s="123"/>
      <c r="E437" s="123"/>
      <c r="F437" s="125"/>
      <c r="G437" s="125"/>
      <c r="H437" s="163"/>
      <c r="I437" s="126"/>
      <c r="J437" s="240"/>
      <c r="K437" s="242"/>
    </row>
    <row r="438">
      <c r="A438" s="121"/>
      <c r="B438" s="122"/>
      <c r="C438" s="163"/>
      <c r="D438" s="123"/>
      <c r="E438" s="123"/>
      <c r="F438" s="125"/>
      <c r="G438" s="125"/>
      <c r="H438" s="163"/>
      <c r="I438" s="126"/>
      <c r="J438" s="240"/>
      <c r="K438" s="242"/>
    </row>
    <row r="439">
      <c r="A439" s="121"/>
      <c r="B439" s="122"/>
      <c r="C439" s="163"/>
      <c r="D439" s="123"/>
      <c r="E439" s="123"/>
      <c r="F439" s="125"/>
      <c r="G439" s="125"/>
      <c r="H439" s="163"/>
      <c r="I439" s="126"/>
      <c r="J439" s="240"/>
      <c r="K439" s="242"/>
    </row>
    <row r="440">
      <c r="A440" s="121"/>
      <c r="B440" s="122"/>
      <c r="C440" s="163"/>
      <c r="D440" s="123"/>
      <c r="E440" s="123"/>
      <c r="F440" s="125"/>
      <c r="G440" s="125"/>
      <c r="H440" s="163"/>
      <c r="I440" s="126"/>
      <c r="J440" s="240"/>
      <c r="K440" s="242"/>
    </row>
    <row r="441">
      <c r="A441" s="121"/>
      <c r="B441" s="122"/>
      <c r="C441" s="163"/>
      <c r="D441" s="123"/>
      <c r="E441" s="123"/>
      <c r="F441" s="125"/>
      <c r="G441" s="125"/>
      <c r="H441" s="163"/>
      <c r="I441" s="126"/>
      <c r="J441" s="240"/>
      <c r="K441" s="242"/>
    </row>
    <row r="442">
      <c r="A442" s="121"/>
      <c r="B442" s="122"/>
      <c r="C442" s="163"/>
      <c r="D442" s="123"/>
      <c r="E442" s="123"/>
      <c r="F442" s="125"/>
      <c r="G442" s="125"/>
      <c r="H442" s="163"/>
      <c r="I442" s="126"/>
      <c r="J442" s="240"/>
      <c r="K442" s="242"/>
    </row>
    <row r="443">
      <c r="A443" s="121"/>
      <c r="B443" s="122"/>
      <c r="C443" s="163"/>
      <c r="D443" s="123"/>
      <c r="E443" s="123"/>
      <c r="F443" s="125"/>
      <c r="G443" s="125"/>
      <c r="H443" s="163"/>
      <c r="I443" s="126"/>
      <c r="J443" s="240"/>
      <c r="K443" s="242"/>
    </row>
    <row r="444">
      <c r="A444" s="121"/>
      <c r="B444" s="122"/>
      <c r="C444" s="163"/>
      <c r="D444" s="123"/>
      <c r="E444" s="123"/>
      <c r="F444" s="125"/>
      <c r="G444" s="125"/>
      <c r="H444" s="163"/>
      <c r="I444" s="126"/>
      <c r="J444" s="240"/>
      <c r="K444" s="242"/>
    </row>
    <row r="445">
      <c r="A445" s="121"/>
      <c r="B445" s="122"/>
      <c r="C445" s="163"/>
      <c r="D445" s="123"/>
      <c r="E445" s="123"/>
      <c r="F445" s="125"/>
      <c r="G445" s="125"/>
      <c r="H445" s="163"/>
      <c r="I445" s="126"/>
      <c r="J445" s="240"/>
      <c r="K445" s="242"/>
    </row>
    <row r="446">
      <c r="A446" s="121"/>
      <c r="B446" s="122"/>
      <c r="C446" s="163"/>
      <c r="D446" s="123"/>
      <c r="E446" s="123"/>
      <c r="F446" s="125"/>
      <c r="G446" s="125"/>
      <c r="H446" s="163"/>
      <c r="I446" s="126"/>
      <c r="J446" s="240"/>
      <c r="K446" s="242"/>
    </row>
    <row r="447">
      <c r="A447" s="121"/>
      <c r="B447" s="122"/>
      <c r="C447" s="163"/>
      <c r="D447" s="123"/>
      <c r="E447" s="123"/>
      <c r="F447" s="125"/>
      <c r="G447" s="125"/>
      <c r="H447" s="163"/>
      <c r="I447" s="126"/>
      <c r="J447" s="240"/>
      <c r="K447" s="242"/>
    </row>
    <row r="448">
      <c r="A448" s="121"/>
      <c r="B448" s="122"/>
      <c r="C448" s="163"/>
      <c r="D448" s="123"/>
      <c r="E448" s="123"/>
      <c r="F448" s="125"/>
      <c r="G448" s="125"/>
      <c r="H448" s="163"/>
      <c r="I448" s="126"/>
      <c r="J448" s="240"/>
      <c r="K448" s="242"/>
    </row>
    <row r="449">
      <c r="A449" s="121"/>
      <c r="B449" s="122"/>
      <c r="C449" s="163"/>
      <c r="D449" s="123"/>
      <c r="E449" s="123"/>
      <c r="F449" s="125"/>
      <c r="G449" s="125"/>
      <c r="H449" s="163"/>
      <c r="I449" s="126"/>
      <c r="J449" s="240"/>
      <c r="K449" s="242"/>
    </row>
    <row r="450">
      <c r="A450" s="121"/>
      <c r="B450" s="122"/>
      <c r="C450" s="163"/>
      <c r="D450" s="123"/>
      <c r="E450" s="123"/>
      <c r="F450" s="125"/>
      <c r="G450" s="125"/>
      <c r="H450" s="163"/>
      <c r="I450" s="126"/>
      <c r="J450" s="240"/>
      <c r="K450" s="242"/>
    </row>
    <row r="451">
      <c r="A451" s="121"/>
      <c r="B451" s="122"/>
      <c r="C451" s="163"/>
      <c r="D451" s="123"/>
      <c r="E451" s="123"/>
      <c r="F451" s="125"/>
      <c r="G451" s="125"/>
      <c r="H451" s="163"/>
      <c r="I451" s="126"/>
      <c r="J451" s="240"/>
      <c r="K451" s="242"/>
    </row>
    <row r="452">
      <c r="A452" s="121"/>
      <c r="B452" s="122"/>
      <c r="C452" s="163"/>
      <c r="D452" s="123"/>
      <c r="E452" s="123"/>
      <c r="F452" s="125"/>
      <c r="G452" s="125"/>
      <c r="H452" s="163"/>
      <c r="I452" s="126"/>
      <c r="J452" s="240"/>
      <c r="K452" s="242"/>
    </row>
    <row r="453">
      <c r="A453" s="121"/>
      <c r="B453" s="122"/>
      <c r="C453" s="163"/>
      <c r="D453" s="123"/>
      <c r="E453" s="123"/>
      <c r="F453" s="125"/>
      <c r="G453" s="125"/>
      <c r="H453" s="163"/>
      <c r="I453" s="126"/>
      <c r="J453" s="240"/>
      <c r="K453" s="242"/>
    </row>
    <row r="454">
      <c r="A454" s="121"/>
      <c r="B454" s="122"/>
      <c r="C454" s="163"/>
      <c r="D454" s="123"/>
      <c r="E454" s="123"/>
      <c r="F454" s="125"/>
      <c r="G454" s="125"/>
      <c r="H454" s="163"/>
      <c r="I454" s="126"/>
      <c r="J454" s="240"/>
      <c r="K454" s="242"/>
    </row>
    <row r="455">
      <c r="A455" s="121"/>
      <c r="B455" s="122"/>
      <c r="C455" s="163"/>
      <c r="D455" s="123"/>
      <c r="E455" s="123"/>
      <c r="F455" s="125"/>
      <c r="G455" s="125"/>
      <c r="H455" s="163"/>
      <c r="I455" s="126"/>
      <c r="J455" s="240"/>
      <c r="K455" s="242"/>
    </row>
    <row r="456">
      <c r="A456" s="121"/>
      <c r="B456" s="122"/>
      <c r="C456" s="163"/>
      <c r="D456" s="123"/>
      <c r="E456" s="123"/>
      <c r="F456" s="125"/>
      <c r="G456" s="125"/>
      <c r="H456" s="163"/>
      <c r="I456" s="126"/>
      <c r="J456" s="240"/>
      <c r="K456" s="242"/>
    </row>
    <row r="457">
      <c r="A457" s="121"/>
      <c r="B457" s="122"/>
      <c r="C457" s="163"/>
      <c r="D457" s="123"/>
      <c r="E457" s="123"/>
      <c r="F457" s="125"/>
      <c r="G457" s="125"/>
      <c r="H457" s="163"/>
      <c r="I457" s="126"/>
      <c r="J457" s="240"/>
      <c r="K457" s="242"/>
    </row>
    <row r="458">
      <c r="A458" s="121"/>
      <c r="B458" s="122"/>
      <c r="C458" s="163"/>
      <c r="D458" s="123"/>
      <c r="E458" s="123"/>
      <c r="F458" s="125"/>
      <c r="G458" s="125"/>
      <c r="H458" s="163"/>
      <c r="I458" s="126"/>
      <c r="J458" s="240"/>
      <c r="K458" s="242"/>
    </row>
    <row r="459">
      <c r="A459" s="121"/>
      <c r="B459" s="122"/>
      <c r="C459" s="163"/>
      <c r="D459" s="123"/>
      <c r="E459" s="123"/>
      <c r="F459" s="125"/>
      <c r="G459" s="125"/>
      <c r="H459" s="163"/>
      <c r="I459" s="126"/>
      <c r="J459" s="240"/>
      <c r="K459" s="242"/>
    </row>
    <row r="460">
      <c r="A460" s="121"/>
      <c r="B460" s="122"/>
      <c r="C460" s="163"/>
      <c r="D460" s="123"/>
      <c r="E460" s="123"/>
      <c r="F460" s="125"/>
      <c r="G460" s="125"/>
      <c r="H460" s="163"/>
      <c r="I460" s="126"/>
      <c r="J460" s="240"/>
      <c r="K460" s="242"/>
    </row>
    <row r="461">
      <c r="A461" s="121"/>
      <c r="B461" s="122"/>
      <c r="C461" s="163"/>
      <c r="D461" s="123"/>
      <c r="E461" s="123"/>
      <c r="F461" s="125"/>
      <c r="G461" s="125"/>
      <c r="H461" s="163"/>
      <c r="I461" s="126"/>
      <c r="J461" s="240"/>
      <c r="K461" s="242"/>
    </row>
    <row r="462">
      <c r="A462" s="121"/>
      <c r="B462" s="122"/>
      <c r="C462" s="163"/>
      <c r="D462" s="123"/>
      <c r="E462" s="123"/>
      <c r="F462" s="125"/>
      <c r="G462" s="125"/>
      <c r="H462" s="163"/>
      <c r="I462" s="126"/>
      <c r="J462" s="240"/>
      <c r="K462" s="242"/>
    </row>
    <row r="463">
      <c r="A463" s="121"/>
      <c r="B463" s="122"/>
      <c r="C463" s="163"/>
      <c r="D463" s="123"/>
      <c r="E463" s="123"/>
      <c r="F463" s="125"/>
      <c r="G463" s="125"/>
      <c r="H463" s="163"/>
      <c r="I463" s="126"/>
      <c r="J463" s="240"/>
      <c r="K463" s="242"/>
    </row>
    <row r="464">
      <c r="A464" s="121"/>
      <c r="B464" s="122"/>
      <c r="C464" s="163"/>
      <c r="D464" s="123"/>
      <c r="E464" s="123"/>
      <c r="F464" s="125"/>
      <c r="G464" s="125"/>
      <c r="H464" s="163"/>
      <c r="I464" s="126"/>
      <c r="J464" s="240"/>
      <c r="K464" s="242"/>
    </row>
    <row r="465">
      <c r="A465" s="121"/>
      <c r="B465" s="122"/>
      <c r="C465" s="163"/>
      <c r="D465" s="123"/>
      <c r="E465" s="123"/>
      <c r="F465" s="125"/>
      <c r="G465" s="125"/>
      <c r="H465" s="163"/>
      <c r="I465" s="126"/>
      <c r="J465" s="240"/>
      <c r="K465" s="242"/>
    </row>
    <row r="466">
      <c r="A466" s="121"/>
      <c r="B466" s="122"/>
      <c r="C466" s="163"/>
      <c r="D466" s="123"/>
      <c r="E466" s="123"/>
      <c r="F466" s="125"/>
      <c r="G466" s="125"/>
      <c r="H466" s="163"/>
      <c r="I466" s="126"/>
      <c r="J466" s="240"/>
      <c r="K466" s="242"/>
    </row>
    <row r="467">
      <c r="A467" s="121"/>
      <c r="B467" s="122"/>
      <c r="C467" s="163"/>
      <c r="D467" s="123"/>
      <c r="E467" s="123"/>
      <c r="F467" s="125"/>
      <c r="G467" s="125"/>
      <c r="H467" s="163"/>
      <c r="I467" s="126"/>
      <c r="J467" s="240"/>
      <c r="K467" s="242"/>
    </row>
    <row r="468">
      <c r="A468" s="121"/>
      <c r="B468" s="122"/>
      <c r="C468" s="163"/>
      <c r="D468" s="123"/>
      <c r="E468" s="123"/>
      <c r="F468" s="125"/>
      <c r="G468" s="125"/>
      <c r="H468" s="163"/>
      <c r="I468" s="126"/>
      <c r="J468" s="240"/>
      <c r="K468" s="242"/>
    </row>
    <row r="469">
      <c r="A469" s="121"/>
      <c r="B469" s="122"/>
      <c r="C469" s="163"/>
      <c r="D469" s="123"/>
      <c r="E469" s="123"/>
      <c r="F469" s="125"/>
      <c r="G469" s="125"/>
      <c r="H469" s="163"/>
      <c r="I469" s="126"/>
      <c r="J469" s="240"/>
      <c r="K469" s="242"/>
    </row>
    <row r="470">
      <c r="A470" s="121"/>
      <c r="B470" s="122"/>
      <c r="C470" s="163"/>
      <c r="D470" s="123"/>
      <c r="E470" s="123"/>
      <c r="F470" s="125"/>
      <c r="G470" s="125"/>
      <c r="H470" s="163"/>
      <c r="I470" s="126"/>
      <c r="J470" s="240"/>
      <c r="K470" s="242"/>
    </row>
    <row r="471">
      <c r="A471" s="121"/>
      <c r="B471" s="122"/>
      <c r="C471" s="163"/>
      <c r="D471" s="123"/>
      <c r="E471" s="123"/>
      <c r="F471" s="125"/>
      <c r="G471" s="125"/>
      <c r="H471" s="163"/>
      <c r="I471" s="126"/>
      <c r="J471" s="240"/>
      <c r="K471" s="242"/>
    </row>
    <row r="472">
      <c r="A472" s="121"/>
      <c r="B472" s="122"/>
      <c r="C472" s="163"/>
      <c r="D472" s="123"/>
      <c r="E472" s="123"/>
      <c r="F472" s="125"/>
      <c r="G472" s="125"/>
      <c r="H472" s="163"/>
      <c r="I472" s="126"/>
      <c r="J472" s="240"/>
      <c r="K472" s="242"/>
    </row>
    <row r="473">
      <c r="A473" s="121"/>
      <c r="B473" s="122"/>
      <c r="C473" s="163"/>
      <c r="D473" s="123"/>
      <c r="E473" s="123"/>
      <c r="F473" s="125"/>
      <c r="G473" s="125"/>
      <c r="H473" s="163"/>
      <c r="I473" s="126"/>
      <c r="J473" s="240"/>
      <c r="K473" s="242"/>
    </row>
    <row r="474">
      <c r="A474" s="121"/>
      <c r="B474" s="122"/>
      <c r="C474" s="163"/>
      <c r="D474" s="123"/>
      <c r="E474" s="123"/>
      <c r="F474" s="125"/>
      <c r="G474" s="125"/>
      <c r="H474" s="163"/>
      <c r="I474" s="126"/>
      <c r="J474" s="240"/>
      <c r="K474" s="242"/>
    </row>
    <row r="475">
      <c r="A475" s="121"/>
      <c r="B475" s="122"/>
      <c r="C475" s="163"/>
      <c r="D475" s="123"/>
      <c r="E475" s="123"/>
      <c r="F475" s="125"/>
      <c r="G475" s="125"/>
      <c r="H475" s="163"/>
      <c r="I475" s="126"/>
      <c r="J475" s="240"/>
      <c r="K475" s="242"/>
    </row>
    <row r="476">
      <c r="A476" s="121"/>
      <c r="B476" s="122"/>
      <c r="C476" s="163"/>
      <c r="D476" s="123"/>
      <c r="E476" s="123"/>
      <c r="F476" s="125"/>
      <c r="G476" s="125"/>
      <c r="H476" s="163"/>
      <c r="I476" s="126"/>
      <c r="J476" s="240"/>
      <c r="K476" s="242"/>
    </row>
    <row r="477">
      <c r="A477" s="121"/>
      <c r="B477" s="122"/>
      <c r="C477" s="163"/>
      <c r="D477" s="123"/>
      <c r="E477" s="123"/>
      <c r="F477" s="125"/>
      <c r="G477" s="125"/>
      <c r="H477" s="163"/>
      <c r="I477" s="126"/>
      <c r="J477" s="240"/>
      <c r="K477" s="242"/>
    </row>
    <row r="478">
      <c r="A478" s="121"/>
      <c r="B478" s="122"/>
      <c r="C478" s="163"/>
      <c r="D478" s="123"/>
      <c r="E478" s="123"/>
      <c r="F478" s="125"/>
      <c r="G478" s="125"/>
      <c r="H478" s="163"/>
      <c r="I478" s="126"/>
      <c r="J478" s="240"/>
      <c r="K478" s="242"/>
    </row>
    <row r="479">
      <c r="A479" s="121"/>
      <c r="B479" s="122"/>
      <c r="C479" s="163"/>
      <c r="D479" s="123"/>
      <c r="E479" s="123"/>
      <c r="F479" s="125"/>
      <c r="G479" s="125"/>
      <c r="H479" s="163"/>
      <c r="I479" s="126"/>
      <c r="J479" s="240"/>
      <c r="K479" s="242"/>
    </row>
    <row r="480">
      <c r="A480" s="121"/>
      <c r="B480" s="122"/>
      <c r="C480" s="163"/>
      <c r="D480" s="123"/>
      <c r="E480" s="123"/>
      <c r="F480" s="125"/>
      <c r="G480" s="125"/>
      <c r="H480" s="163"/>
      <c r="I480" s="126"/>
      <c r="J480" s="240"/>
      <c r="K480" s="242"/>
    </row>
    <row r="481">
      <c r="A481" s="121"/>
      <c r="B481" s="122"/>
      <c r="C481" s="163"/>
      <c r="D481" s="123"/>
      <c r="E481" s="123"/>
      <c r="F481" s="125"/>
      <c r="G481" s="125"/>
      <c r="H481" s="163"/>
      <c r="I481" s="126"/>
      <c r="J481" s="240"/>
      <c r="K481" s="242"/>
    </row>
    <row r="482">
      <c r="A482" s="121"/>
      <c r="B482" s="122"/>
      <c r="C482" s="163"/>
      <c r="D482" s="123"/>
      <c r="E482" s="123"/>
      <c r="F482" s="125"/>
      <c r="G482" s="125"/>
      <c r="H482" s="163"/>
      <c r="I482" s="126"/>
      <c r="J482" s="240"/>
      <c r="K482" s="242"/>
    </row>
    <row r="483">
      <c r="A483" s="121"/>
      <c r="B483" s="122"/>
      <c r="C483" s="163"/>
      <c r="D483" s="123"/>
      <c r="E483" s="123"/>
      <c r="F483" s="125"/>
      <c r="G483" s="125"/>
      <c r="H483" s="163"/>
      <c r="I483" s="126"/>
      <c r="J483" s="240"/>
      <c r="K483" s="242"/>
    </row>
    <row r="484">
      <c r="A484" s="121"/>
      <c r="B484" s="122"/>
      <c r="C484" s="163"/>
      <c r="D484" s="123"/>
      <c r="E484" s="123"/>
      <c r="F484" s="125"/>
      <c r="G484" s="125"/>
      <c r="H484" s="163"/>
      <c r="I484" s="126"/>
      <c r="J484" s="240"/>
      <c r="K484" s="242"/>
    </row>
    <row r="485">
      <c r="A485" s="121"/>
      <c r="B485" s="122"/>
      <c r="C485" s="163"/>
      <c r="D485" s="123"/>
      <c r="E485" s="123"/>
      <c r="F485" s="125"/>
      <c r="G485" s="125"/>
      <c r="H485" s="163"/>
      <c r="I485" s="126"/>
      <c r="J485" s="240"/>
      <c r="K485" s="242"/>
    </row>
    <row r="486">
      <c r="A486" s="121"/>
      <c r="B486" s="122"/>
      <c r="C486" s="163"/>
      <c r="D486" s="123"/>
      <c r="E486" s="123"/>
      <c r="F486" s="125"/>
      <c r="G486" s="125"/>
      <c r="H486" s="163"/>
      <c r="I486" s="126"/>
      <c r="J486" s="240"/>
      <c r="K486" s="242"/>
    </row>
    <row r="487">
      <c r="A487" s="121"/>
      <c r="B487" s="122"/>
      <c r="C487" s="163"/>
      <c r="D487" s="123"/>
      <c r="E487" s="123"/>
      <c r="F487" s="125"/>
      <c r="G487" s="125"/>
      <c r="H487" s="163"/>
      <c r="I487" s="126"/>
      <c r="J487" s="240"/>
      <c r="K487" s="242"/>
    </row>
    <row r="488">
      <c r="A488" s="121"/>
      <c r="B488" s="122"/>
      <c r="C488" s="163"/>
      <c r="D488" s="123"/>
      <c r="E488" s="123"/>
      <c r="F488" s="125"/>
      <c r="G488" s="125"/>
      <c r="H488" s="163"/>
      <c r="I488" s="126"/>
      <c r="J488" s="240"/>
      <c r="K488" s="242"/>
    </row>
    <row r="489">
      <c r="A489" s="121"/>
      <c r="B489" s="122"/>
      <c r="C489" s="163"/>
      <c r="D489" s="123"/>
      <c r="E489" s="123"/>
      <c r="F489" s="125"/>
      <c r="G489" s="125"/>
      <c r="H489" s="163"/>
      <c r="I489" s="126"/>
      <c r="J489" s="240"/>
      <c r="K489" s="242"/>
    </row>
    <row r="490">
      <c r="A490" s="121"/>
      <c r="B490" s="122"/>
      <c r="C490" s="163"/>
      <c r="D490" s="123"/>
      <c r="E490" s="123"/>
      <c r="F490" s="125"/>
      <c r="G490" s="125"/>
      <c r="H490" s="163"/>
      <c r="I490" s="126"/>
      <c r="J490" s="240"/>
      <c r="K490" s="242"/>
    </row>
    <row r="491">
      <c r="A491" s="121"/>
      <c r="B491" s="122"/>
      <c r="C491" s="163"/>
      <c r="D491" s="123"/>
      <c r="E491" s="123"/>
      <c r="F491" s="125"/>
      <c r="G491" s="125"/>
      <c r="H491" s="163"/>
      <c r="I491" s="126"/>
      <c r="J491" s="240"/>
      <c r="K491" s="242"/>
    </row>
    <row r="492">
      <c r="A492" s="121"/>
      <c r="B492" s="122"/>
      <c r="C492" s="163"/>
      <c r="D492" s="123"/>
      <c r="E492" s="123"/>
      <c r="F492" s="125"/>
      <c r="G492" s="125"/>
      <c r="H492" s="163"/>
      <c r="I492" s="126"/>
      <c r="J492" s="240"/>
      <c r="K492" s="242"/>
    </row>
    <row r="493">
      <c r="A493" s="121"/>
      <c r="B493" s="122"/>
      <c r="C493" s="163"/>
      <c r="D493" s="123"/>
      <c r="E493" s="123"/>
      <c r="F493" s="125"/>
      <c r="G493" s="125"/>
      <c r="H493" s="163"/>
      <c r="I493" s="126"/>
      <c r="J493" s="240"/>
      <c r="K493" s="242"/>
    </row>
    <row r="494">
      <c r="A494" s="121"/>
      <c r="B494" s="122"/>
      <c r="C494" s="163"/>
      <c r="D494" s="123"/>
      <c r="E494" s="123"/>
      <c r="F494" s="125"/>
      <c r="G494" s="125"/>
      <c r="H494" s="163"/>
      <c r="I494" s="126"/>
      <c r="J494" s="240"/>
      <c r="K494" s="242"/>
    </row>
    <row r="495">
      <c r="A495" s="121"/>
      <c r="B495" s="122"/>
      <c r="C495" s="163"/>
      <c r="D495" s="123"/>
      <c r="E495" s="123"/>
      <c r="F495" s="125"/>
      <c r="G495" s="125"/>
      <c r="H495" s="163"/>
      <c r="I495" s="126"/>
      <c r="J495" s="240"/>
      <c r="K495" s="242"/>
    </row>
    <row r="496">
      <c r="A496" s="121"/>
      <c r="B496" s="122"/>
      <c r="C496" s="163"/>
      <c r="D496" s="123"/>
      <c r="E496" s="123"/>
      <c r="F496" s="125"/>
      <c r="G496" s="125"/>
      <c r="H496" s="163"/>
      <c r="I496" s="126"/>
      <c r="J496" s="240"/>
      <c r="K496" s="242"/>
    </row>
    <row r="497">
      <c r="A497" s="121"/>
      <c r="B497" s="122"/>
      <c r="C497" s="163"/>
      <c r="D497" s="123"/>
      <c r="E497" s="123"/>
      <c r="F497" s="125"/>
      <c r="G497" s="125"/>
      <c r="H497" s="163"/>
      <c r="I497" s="126"/>
      <c r="J497" s="240"/>
      <c r="K497" s="242"/>
    </row>
    <row r="498">
      <c r="A498" s="121"/>
      <c r="B498" s="122"/>
      <c r="C498" s="163"/>
      <c r="D498" s="123"/>
      <c r="E498" s="123"/>
      <c r="F498" s="125"/>
      <c r="G498" s="125"/>
      <c r="H498" s="163"/>
      <c r="I498" s="126"/>
      <c r="J498" s="240"/>
      <c r="K498" s="242"/>
    </row>
    <row r="499">
      <c r="A499" s="121"/>
      <c r="B499" s="122"/>
      <c r="C499" s="163"/>
      <c r="D499" s="123"/>
      <c r="E499" s="123"/>
      <c r="F499" s="125"/>
      <c r="G499" s="125"/>
      <c r="H499" s="163"/>
      <c r="I499" s="126"/>
      <c r="J499" s="240"/>
      <c r="K499" s="242"/>
    </row>
    <row r="500">
      <c r="A500" s="121"/>
      <c r="B500" s="122"/>
      <c r="C500" s="163"/>
      <c r="D500" s="123"/>
      <c r="E500" s="123"/>
      <c r="F500" s="125"/>
      <c r="G500" s="125"/>
      <c r="H500" s="163"/>
      <c r="I500" s="126"/>
      <c r="J500" s="240"/>
      <c r="K500" s="242"/>
    </row>
    <row r="501">
      <c r="A501" s="121"/>
      <c r="B501" s="122"/>
      <c r="C501" s="163"/>
      <c r="D501" s="123"/>
      <c r="E501" s="123"/>
      <c r="F501" s="125"/>
      <c r="G501" s="125"/>
      <c r="H501" s="163"/>
      <c r="I501" s="126"/>
      <c r="J501" s="240"/>
      <c r="K501" s="242"/>
    </row>
    <row r="502">
      <c r="A502" s="121"/>
      <c r="B502" s="122"/>
      <c r="C502" s="163"/>
      <c r="D502" s="123"/>
      <c r="E502" s="123"/>
      <c r="F502" s="125"/>
      <c r="G502" s="125"/>
      <c r="H502" s="163"/>
      <c r="I502" s="126"/>
      <c r="J502" s="240"/>
      <c r="K502" s="242"/>
    </row>
    <row r="503">
      <c r="A503" s="121"/>
      <c r="B503" s="122"/>
      <c r="C503" s="163"/>
      <c r="D503" s="123"/>
      <c r="E503" s="123"/>
      <c r="F503" s="125"/>
      <c r="G503" s="125"/>
      <c r="H503" s="163"/>
      <c r="I503" s="126"/>
      <c r="J503" s="240"/>
      <c r="K503" s="242"/>
    </row>
    <row r="504">
      <c r="A504" s="121"/>
      <c r="B504" s="122"/>
      <c r="C504" s="163"/>
      <c r="D504" s="123"/>
      <c r="E504" s="123"/>
      <c r="F504" s="125"/>
      <c r="G504" s="125"/>
      <c r="H504" s="163"/>
      <c r="I504" s="126"/>
      <c r="J504" s="240"/>
      <c r="K504" s="242"/>
    </row>
    <row r="505">
      <c r="A505" s="121"/>
      <c r="B505" s="122"/>
      <c r="C505" s="163"/>
      <c r="D505" s="123"/>
      <c r="E505" s="123"/>
      <c r="F505" s="125"/>
      <c r="G505" s="125"/>
      <c r="H505" s="163"/>
      <c r="I505" s="126"/>
      <c r="J505" s="240"/>
      <c r="K505" s="242"/>
    </row>
    <row r="506">
      <c r="A506" s="121"/>
      <c r="B506" s="122"/>
      <c r="C506" s="163"/>
      <c r="D506" s="123"/>
      <c r="E506" s="123"/>
      <c r="F506" s="125"/>
      <c r="G506" s="125"/>
      <c r="H506" s="163"/>
      <c r="I506" s="126"/>
      <c r="J506" s="240"/>
      <c r="K506" s="242"/>
    </row>
    <row r="507">
      <c r="A507" s="121"/>
      <c r="B507" s="122"/>
      <c r="C507" s="163"/>
      <c r="D507" s="123"/>
      <c r="E507" s="123"/>
      <c r="F507" s="125"/>
      <c r="G507" s="125"/>
      <c r="H507" s="163"/>
      <c r="I507" s="126"/>
      <c r="J507" s="240"/>
      <c r="K507" s="242"/>
    </row>
    <row r="508">
      <c r="A508" s="121"/>
      <c r="B508" s="122"/>
      <c r="C508" s="163"/>
      <c r="D508" s="123"/>
      <c r="E508" s="123"/>
      <c r="F508" s="125"/>
      <c r="G508" s="125"/>
      <c r="H508" s="163"/>
      <c r="I508" s="126"/>
      <c r="J508" s="240"/>
      <c r="K508" s="242"/>
    </row>
    <row r="509">
      <c r="A509" s="121"/>
      <c r="B509" s="122"/>
      <c r="C509" s="163"/>
      <c r="D509" s="123"/>
      <c r="E509" s="123"/>
      <c r="F509" s="125"/>
      <c r="G509" s="125"/>
      <c r="H509" s="163"/>
      <c r="I509" s="126"/>
      <c r="J509" s="240"/>
      <c r="K509" s="242"/>
    </row>
    <row r="510">
      <c r="A510" s="121"/>
      <c r="B510" s="122"/>
      <c r="C510" s="163"/>
      <c r="D510" s="123"/>
      <c r="E510" s="123"/>
      <c r="F510" s="125"/>
      <c r="G510" s="125"/>
      <c r="H510" s="163"/>
      <c r="I510" s="126"/>
      <c r="J510" s="240"/>
      <c r="K510" s="242"/>
    </row>
    <row r="511">
      <c r="A511" s="121"/>
      <c r="B511" s="122"/>
      <c r="C511" s="163"/>
      <c r="D511" s="123"/>
      <c r="E511" s="123"/>
      <c r="F511" s="125"/>
      <c r="G511" s="125"/>
      <c r="H511" s="163"/>
      <c r="I511" s="126"/>
      <c r="J511" s="240"/>
      <c r="K511" s="242"/>
    </row>
    <row r="512">
      <c r="A512" s="121"/>
      <c r="B512" s="122"/>
      <c r="C512" s="163"/>
      <c r="D512" s="123"/>
      <c r="E512" s="123"/>
      <c r="F512" s="125"/>
      <c r="G512" s="125"/>
      <c r="H512" s="163"/>
      <c r="I512" s="126"/>
      <c r="J512" s="240"/>
      <c r="K512" s="242"/>
    </row>
    <row r="513">
      <c r="A513" s="121"/>
      <c r="B513" s="122"/>
      <c r="C513" s="163"/>
      <c r="D513" s="123"/>
      <c r="E513" s="123"/>
      <c r="F513" s="125"/>
      <c r="G513" s="125"/>
      <c r="H513" s="163"/>
      <c r="I513" s="126"/>
      <c r="J513" s="240"/>
      <c r="K513" s="242"/>
    </row>
    <row r="514">
      <c r="A514" s="121"/>
      <c r="B514" s="122"/>
      <c r="C514" s="163"/>
      <c r="D514" s="123"/>
      <c r="E514" s="123"/>
      <c r="F514" s="125"/>
      <c r="G514" s="125"/>
      <c r="H514" s="163"/>
      <c r="I514" s="126"/>
      <c r="J514" s="240"/>
      <c r="K514" s="242"/>
    </row>
    <row r="515">
      <c r="A515" s="121"/>
      <c r="B515" s="122"/>
      <c r="C515" s="163"/>
      <c r="D515" s="123"/>
      <c r="E515" s="123"/>
      <c r="F515" s="125"/>
      <c r="G515" s="125"/>
      <c r="H515" s="163"/>
      <c r="I515" s="126"/>
      <c r="J515" s="240"/>
      <c r="K515" s="242"/>
    </row>
    <row r="516">
      <c r="A516" s="121"/>
      <c r="B516" s="122"/>
      <c r="C516" s="163"/>
      <c r="D516" s="123"/>
      <c r="E516" s="123"/>
      <c r="F516" s="125"/>
      <c r="G516" s="125"/>
      <c r="H516" s="163"/>
      <c r="I516" s="126"/>
      <c r="J516" s="240"/>
      <c r="K516" s="242"/>
    </row>
    <row r="517">
      <c r="A517" s="121"/>
      <c r="B517" s="122"/>
      <c r="C517" s="163"/>
      <c r="D517" s="123"/>
      <c r="E517" s="123"/>
      <c r="F517" s="125"/>
      <c r="G517" s="125"/>
      <c r="H517" s="163"/>
      <c r="I517" s="126"/>
      <c r="J517" s="240"/>
      <c r="K517" s="242"/>
    </row>
    <row r="518">
      <c r="A518" s="121"/>
      <c r="B518" s="122"/>
      <c r="C518" s="163"/>
      <c r="D518" s="123"/>
      <c r="E518" s="123"/>
      <c r="F518" s="125"/>
      <c r="G518" s="125"/>
      <c r="H518" s="163"/>
      <c r="I518" s="126"/>
      <c r="J518" s="240"/>
      <c r="K518" s="242"/>
    </row>
    <row r="519">
      <c r="A519" s="121"/>
      <c r="B519" s="122"/>
      <c r="C519" s="163"/>
      <c r="D519" s="123"/>
      <c r="E519" s="123"/>
      <c r="F519" s="125"/>
      <c r="G519" s="125"/>
      <c r="H519" s="163"/>
      <c r="I519" s="126"/>
      <c r="J519" s="240"/>
      <c r="K519" s="242"/>
    </row>
    <row r="520">
      <c r="A520" s="121"/>
      <c r="B520" s="122"/>
      <c r="C520" s="163"/>
      <c r="D520" s="123"/>
      <c r="E520" s="123"/>
      <c r="F520" s="125"/>
      <c r="G520" s="125"/>
      <c r="H520" s="163"/>
      <c r="I520" s="126"/>
      <c r="J520" s="240"/>
      <c r="K520" s="242"/>
    </row>
    <row r="521">
      <c r="A521" s="121"/>
      <c r="B521" s="122"/>
      <c r="C521" s="163"/>
      <c r="D521" s="123"/>
      <c r="E521" s="123"/>
      <c r="F521" s="125"/>
      <c r="G521" s="125"/>
      <c r="H521" s="163"/>
      <c r="I521" s="126"/>
      <c r="J521" s="240"/>
      <c r="K521" s="242"/>
    </row>
    <row r="522">
      <c r="A522" s="121"/>
      <c r="B522" s="122"/>
      <c r="C522" s="163"/>
      <c r="D522" s="123"/>
      <c r="E522" s="123"/>
      <c r="F522" s="125"/>
      <c r="G522" s="125"/>
      <c r="H522" s="163"/>
      <c r="I522" s="126"/>
      <c r="J522" s="240"/>
      <c r="K522" s="242"/>
    </row>
    <row r="523">
      <c r="A523" s="121"/>
      <c r="B523" s="122"/>
      <c r="C523" s="163"/>
      <c r="D523" s="123"/>
      <c r="E523" s="123"/>
      <c r="F523" s="125"/>
      <c r="G523" s="125"/>
      <c r="H523" s="163"/>
      <c r="I523" s="126"/>
      <c r="J523" s="240"/>
      <c r="K523" s="242"/>
    </row>
    <row r="524">
      <c r="A524" s="121"/>
      <c r="B524" s="122"/>
      <c r="C524" s="163"/>
      <c r="D524" s="123"/>
      <c r="E524" s="123"/>
      <c r="F524" s="125"/>
      <c r="G524" s="125"/>
      <c r="H524" s="163"/>
      <c r="I524" s="126"/>
      <c r="J524" s="240"/>
      <c r="K524" s="242"/>
    </row>
    <row r="525">
      <c r="A525" s="121"/>
      <c r="B525" s="122"/>
      <c r="C525" s="163"/>
      <c r="D525" s="123"/>
      <c r="E525" s="123"/>
      <c r="F525" s="125"/>
      <c r="G525" s="125"/>
      <c r="H525" s="163"/>
      <c r="I525" s="126"/>
      <c r="J525" s="240"/>
      <c r="K525" s="242"/>
    </row>
    <row r="526">
      <c r="A526" s="121"/>
      <c r="B526" s="122"/>
      <c r="C526" s="163"/>
      <c r="D526" s="123"/>
      <c r="E526" s="123"/>
      <c r="F526" s="125"/>
      <c r="G526" s="125"/>
      <c r="H526" s="163"/>
      <c r="I526" s="126"/>
      <c r="J526" s="240"/>
      <c r="K526" s="242"/>
    </row>
    <row r="527">
      <c r="A527" s="121"/>
      <c r="B527" s="122"/>
      <c r="C527" s="163"/>
      <c r="D527" s="123"/>
      <c r="E527" s="123"/>
      <c r="F527" s="125"/>
      <c r="G527" s="125"/>
      <c r="H527" s="163"/>
      <c r="I527" s="126"/>
      <c r="J527" s="240"/>
      <c r="K527" s="242"/>
    </row>
    <row r="528">
      <c r="A528" s="121"/>
      <c r="B528" s="122"/>
      <c r="C528" s="163"/>
      <c r="D528" s="123"/>
      <c r="E528" s="123"/>
      <c r="F528" s="125"/>
      <c r="G528" s="125"/>
      <c r="H528" s="163"/>
      <c r="I528" s="126"/>
      <c r="J528" s="240"/>
      <c r="K528" s="242"/>
    </row>
    <row r="529">
      <c r="A529" s="121"/>
      <c r="B529" s="122"/>
      <c r="C529" s="163"/>
      <c r="D529" s="123"/>
      <c r="E529" s="123"/>
      <c r="F529" s="125"/>
      <c r="G529" s="125"/>
      <c r="H529" s="163"/>
      <c r="I529" s="126"/>
      <c r="J529" s="240"/>
      <c r="K529" s="242"/>
    </row>
    <row r="530">
      <c r="A530" s="121"/>
      <c r="B530" s="122"/>
      <c r="C530" s="163"/>
      <c r="D530" s="123"/>
      <c r="E530" s="123"/>
      <c r="F530" s="125"/>
      <c r="G530" s="125"/>
      <c r="H530" s="163"/>
      <c r="I530" s="126"/>
      <c r="J530" s="240"/>
      <c r="K530" s="242"/>
    </row>
    <row r="531">
      <c r="A531" s="121"/>
      <c r="B531" s="122"/>
      <c r="C531" s="163"/>
      <c r="D531" s="123"/>
      <c r="E531" s="123"/>
      <c r="F531" s="125"/>
      <c r="G531" s="125"/>
      <c r="H531" s="163"/>
      <c r="I531" s="126"/>
      <c r="J531" s="240"/>
      <c r="K531" s="242"/>
    </row>
    <row r="532">
      <c r="A532" s="121"/>
      <c r="B532" s="122"/>
      <c r="C532" s="163"/>
      <c r="D532" s="123"/>
      <c r="E532" s="123"/>
      <c r="F532" s="125"/>
      <c r="G532" s="125"/>
      <c r="H532" s="163"/>
      <c r="I532" s="126"/>
      <c r="J532" s="240"/>
      <c r="K532" s="242"/>
    </row>
    <row r="533">
      <c r="A533" s="121"/>
      <c r="B533" s="122"/>
      <c r="C533" s="163"/>
      <c r="D533" s="123"/>
      <c r="E533" s="123"/>
      <c r="F533" s="125"/>
      <c r="G533" s="125"/>
      <c r="H533" s="163"/>
      <c r="I533" s="126"/>
      <c r="J533" s="240"/>
      <c r="K533" s="242"/>
    </row>
    <row r="534">
      <c r="A534" s="121"/>
      <c r="B534" s="122"/>
      <c r="C534" s="163"/>
      <c r="D534" s="123"/>
      <c r="E534" s="123"/>
      <c r="F534" s="125"/>
      <c r="G534" s="125"/>
      <c r="H534" s="163"/>
      <c r="I534" s="126"/>
      <c r="J534" s="240"/>
      <c r="K534" s="242"/>
    </row>
    <row r="535">
      <c r="A535" s="121"/>
      <c r="B535" s="122"/>
      <c r="C535" s="163"/>
      <c r="D535" s="123"/>
      <c r="E535" s="123"/>
      <c r="F535" s="125"/>
      <c r="G535" s="125"/>
      <c r="H535" s="163"/>
      <c r="I535" s="126"/>
      <c r="J535" s="240"/>
      <c r="K535" s="242"/>
    </row>
    <row r="536">
      <c r="A536" s="121"/>
      <c r="B536" s="122"/>
      <c r="C536" s="163"/>
      <c r="D536" s="123"/>
      <c r="E536" s="123"/>
      <c r="F536" s="125"/>
      <c r="G536" s="125"/>
      <c r="H536" s="163"/>
      <c r="I536" s="126"/>
      <c r="J536" s="240"/>
      <c r="K536" s="242"/>
    </row>
    <row r="537">
      <c r="A537" s="121"/>
      <c r="B537" s="122"/>
      <c r="C537" s="163"/>
      <c r="D537" s="123"/>
      <c r="E537" s="123"/>
      <c r="F537" s="125"/>
      <c r="G537" s="125"/>
      <c r="H537" s="163"/>
      <c r="I537" s="126"/>
      <c r="J537" s="240"/>
      <c r="K537" s="242"/>
    </row>
    <row r="538">
      <c r="A538" s="121"/>
      <c r="B538" s="122"/>
      <c r="C538" s="163"/>
      <c r="D538" s="123"/>
      <c r="E538" s="123"/>
      <c r="F538" s="125"/>
      <c r="G538" s="125"/>
      <c r="H538" s="163"/>
      <c r="I538" s="126"/>
      <c r="J538" s="240"/>
      <c r="K538" s="242"/>
    </row>
    <row r="539">
      <c r="A539" s="121"/>
      <c r="B539" s="122"/>
      <c r="C539" s="163"/>
      <c r="D539" s="123"/>
      <c r="E539" s="123"/>
      <c r="F539" s="125"/>
      <c r="G539" s="125"/>
      <c r="H539" s="163"/>
      <c r="I539" s="126"/>
      <c r="J539" s="240"/>
      <c r="K539" s="242"/>
    </row>
    <row r="540">
      <c r="A540" s="121"/>
      <c r="B540" s="122"/>
      <c r="C540" s="163"/>
      <c r="D540" s="123"/>
      <c r="E540" s="123"/>
      <c r="F540" s="125"/>
      <c r="G540" s="125"/>
      <c r="H540" s="163"/>
      <c r="I540" s="126"/>
      <c r="J540" s="240"/>
      <c r="K540" s="242"/>
    </row>
    <row r="541">
      <c r="A541" s="121"/>
      <c r="B541" s="122"/>
      <c r="C541" s="163"/>
      <c r="D541" s="123"/>
      <c r="E541" s="123"/>
      <c r="F541" s="125"/>
      <c r="G541" s="125"/>
      <c r="H541" s="163"/>
      <c r="I541" s="126"/>
      <c r="J541" s="240"/>
      <c r="K541" s="242"/>
    </row>
    <row r="542">
      <c r="A542" s="121"/>
      <c r="B542" s="122"/>
      <c r="C542" s="163"/>
      <c r="D542" s="123"/>
      <c r="E542" s="123"/>
      <c r="F542" s="125"/>
      <c r="G542" s="125"/>
      <c r="H542" s="163"/>
      <c r="I542" s="126"/>
      <c r="J542" s="240"/>
      <c r="K542" s="242"/>
    </row>
    <row r="543">
      <c r="A543" s="121"/>
      <c r="B543" s="122"/>
      <c r="C543" s="163"/>
      <c r="D543" s="123"/>
      <c r="E543" s="123"/>
      <c r="F543" s="125"/>
      <c r="G543" s="125"/>
      <c r="H543" s="163"/>
      <c r="I543" s="126"/>
      <c r="J543" s="240"/>
      <c r="K543" s="242"/>
    </row>
    <row r="544">
      <c r="A544" s="121"/>
      <c r="B544" s="122"/>
      <c r="C544" s="163"/>
      <c r="D544" s="123"/>
      <c r="E544" s="123"/>
      <c r="F544" s="125"/>
      <c r="G544" s="125"/>
      <c r="H544" s="163"/>
      <c r="I544" s="126"/>
      <c r="J544" s="240"/>
      <c r="K544" s="242"/>
    </row>
    <row r="545">
      <c r="A545" s="121"/>
      <c r="B545" s="122"/>
      <c r="C545" s="163"/>
      <c r="D545" s="123"/>
      <c r="E545" s="123"/>
      <c r="F545" s="125"/>
      <c r="G545" s="125"/>
      <c r="H545" s="163"/>
      <c r="I545" s="126"/>
      <c r="J545" s="240"/>
      <c r="K545" s="242"/>
    </row>
    <row r="546">
      <c r="A546" s="121"/>
      <c r="B546" s="122"/>
      <c r="C546" s="163"/>
      <c r="D546" s="123"/>
      <c r="E546" s="123"/>
      <c r="F546" s="125"/>
      <c r="G546" s="125"/>
      <c r="H546" s="163"/>
      <c r="I546" s="126"/>
      <c r="J546" s="240"/>
      <c r="K546" s="242"/>
    </row>
    <row r="547">
      <c r="A547" s="121"/>
      <c r="B547" s="122"/>
      <c r="C547" s="163"/>
      <c r="D547" s="123"/>
      <c r="E547" s="123"/>
      <c r="F547" s="125"/>
      <c r="G547" s="125"/>
      <c r="H547" s="163"/>
      <c r="I547" s="126"/>
      <c r="J547" s="240"/>
      <c r="K547" s="242"/>
    </row>
    <row r="548">
      <c r="A548" s="121"/>
      <c r="B548" s="122"/>
      <c r="C548" s="163"/>
      <c r="D548" s="123"/>
      <c r="E548" s="123"/>
      <c r="F548" s="125"/>
      <c r="G548" s="125"/>
      <c r="H548" s="163"/>
      <c r="I548" s="126"/>
      <c r="J548" s="240"/>
      <c r="K548" s="242"/>
    </row>
    <row r="549">
      <c r="A549" s="121"/>
      <c r="B549" s="122"/>
      <c r="C549" s="163"/>
      <c r="D549" s="123"/>
      <c r="E549" s="123"/>
      <c r="F549" s="125"/>
      <c r="G549" s="125"/>
      <c r="H549" s="163"/>
      <c r="I549" s="126"/>
      <c r="J549" s="240"/>
      <c r="K549" s="242"/>
    </row>
    <row r="550">
      <c r="A550" s="121"/>
      <c r="B550" s="122"/>
      <c r="C550" s="163"/>
      <c r="D550" s="123"/>
      <c r="E550" s="123"/>
      <c r="F550" s="125"/>
      <c r="G550" s="125"/>
      <c r="H550" s="163"/>
      <c r="I550" s="126"/>
      <c r="J550" s="240"/>
      <c r="K550" s="242"/>
    </row>
    <row r="551">
      <c r="A551" s="121"/>
      <c r="B551" s="122"/>
      <c r="C551" s="163"/>
      <c r="D551" s="123"/>
      <c r="E551" s="123"/>
      <c r="F551" s="125"/>
      <c r="G551" s="125"/>
      <c r="H551" s="163"/>
      <c r="I551" s="126"/>
      <c r="J551" s="240"/>
      <c r="K551" s="242"/>
    </row>
    <row r="552">
      <c r="A552" s="121"/>
      <c r="B552" s="122"/>
      <c r="C552" s="163"/>
      <c r="D552" s="123"/>
      <c r="E552" s="123"/>
      <c r="F552" s="125"/>
      <c r="G552" s="125"/>
      <c r="H552" s="163"/>
      <c r="I552" s="126"/>
      <c r="J552" s="240"/>
      <c r="K552" s="242"/>
    </row>
    <row r="553">
      <c r="A553" s="121"/>
      <c r="B553" s="122"/>
      <c r="C553" s="163"/>
      <c r="D553" s="123"/>
      <c r="E553" s="123"/>
      <c r="F553" s="125"/>
      <c r="G553" s="125"/>
      <c r="H553" s="163"/>
      <c r="I553" s="126"/>
      <c r="J553" s="240"/>
      <c r="K553" s="242"/>
    </row>
    <row r="554">
      <c r="A554" s="121"/>
      <c r="B554" s="122"/>
      <c r="C554" s="163"/>
      <c r="D554" s="123"/>
      <c r="E554" s="123"/>
      <c r="F554" s="125"/>
      <c r="G554" s="125"/>
      <c r="H554" s="163"/>
      <c r="I554" s="126"/>
      <c r="J554" s="240"/>
      <c r="K554" s="242"/>
    </row>
    <row r="555">
      <c r="A555" s="121"/>
      <c r="B555" s="122"/>
      <c r="C555" s="163"/>
      <c r="D555" s="123"/>
      <c r="E555" s="123"/>
      <c r="F555" s="125"/>
      <c r="G555" s="125"/>
      <c r="H555" s="163"/>
      <c r="I555" s="126"/>
      <c r="J555" s="240"/>
      <c r="K555" s="242"/>
    </row>
    <row r="556">
      <c r="A556" s="121"/>
      <c r="B556" s="122"/>
      <c r="C556" s="163"/>
      <c r="D556" s="123"/>
      <c r="E556" s="123"/>
      <c r="F556" s="125"/>
      <c r="G556" s="125"/>
      <c r="H556" s="163"/>
      <c r="I556" s="126"/>
      <c r="J556" s="240"/>
      <c r="K556" s="242"/>
    </row>
    <row r="557">
      <c r="A557" s="121"/>
      <c r="B557" s="122"/>
      <c r="C557" s="163"/>
      <c r="D557" s="123"/>
      <c r="E557" s="123"/>
      <c r="F557" s="125"/>
      <c r="G557" s="125"/>
      <c r="H557" s="163"/>
      <c r="I557" s="126"/>
      <c r="J557" s="240"/>
      <c r="K557" s="242"/>
    </row>
    <row r="558">
      <c r="A558" s="121"/>
      <c r="B558" s="122"/>
      <c r="C558" s="163"/>
      <c r="D558" s="123"/>
      <c r="E558" s="123"/>
      <c r="F558" s="125"/>
      <c r="G558" s="125"/>
      <c r="H558" s="163"/>
      <c r="I558" s="126"/>
      <c r="J558" s="240"/>
      <c r="K558" s="242"/>
    </row>
    <row r="559">
      <c r="A559" s="121"/>
      <c r="B559" s="122"/>
      <c r="C559" s="163"/>
      <c r="D559" s="123"/>
      <c r="E559" s="123"/>
      <c r="F559" s="125"/>
      <c r="G559" s="125"/>
      <c r="H559" s="163"/>
      <c r="I559" s="126"/>
      <c r="J559" s="240"/>
      <c r="K559" s="242"/>
    </row>
    <row r="560">
      <c r="A560" s="121"/>
      <c r="B560" s="122"/>
      <c r="C560" s="163"/>
      <c r="D560" s="123"/>
      <c r="E560" s="123"/>
      <c r="F560" s="125"/>
      <c r="G560" s="125"/>
      <c r="H560" s="163"/>
      <c r="I560" s="126"/>
      <c r="J560" s="240"/>
      <c r="K560" s="242"/>
    </row>
    <row r="561">
      <c r="A561" s="121"/>
      <c r="B561" s="122"/>
      <c r="C561" s="163"/>
      <c r="D561" s="123"/>
      <c r="E561" s="123"/>
      <c r="F561" s="125"/>
      <c r="G561" s="125"/>
      <c r="H561" s="163"/>
      <c r="I561" s="126"/>
      <c r="J561" s="240"/>
      <c r="K561" s="242"/>
    </row>
    <row r="562">
      <c r="A562" s="121"/>
      <c r="B562" s="122"/>
      <c r="C562" s="163"/>
      <c r="D562" s="123"/>
      <c r="E562" s="123"/>
      <c r="F562" s="125"/>
      <c r="G562" s="125"/>
      <c r="H562" s="163"/>
      <c r="I562" s="126"/>
      <c r="J562" s="240"/>
      <c r="K562" s="242"/>
    </row>
    <row r="563">
      <c r="A563" s="121"/>
      <c r="B563" s="122"/>
      <c r="C563" s="163"/>
      <c r="D563" s="123"/>
      <c r="E563" s="123"/>
      <c r="F563" s="125"/>
      <c r="G563" s="125"/>
      <c r="H563" s="163"/>
      <c r="I563" s="126"/>
      <c r="J563" s="240"/>
      <c r="K563" s="242"/>
    </row>
    <row r="564">
      <c r="A564" s="121"/>
      <c r="B564" s="122"/>
      <c r="C564" s="163"/>
      <c r="D564" s="123"/>
      <c r="E564" s="123"/>
      <c r="F564" s="125"/>
      <c r="G564" s="125"/>
      <c r="H564" s="163"/>
      <c r="I564" s="126"/>
      <c r="J564" s="240"/>
      <c r="K564" s="242"/>
    </row>
    <row r="565">
      <c r="A565" s="121"/>
      <c r="B565" s="122"/>
      <c r="C565" s="163"/>
      <c r="D565" s="123"/>
      <c r="E565" s="123"/>
      <c r="F565" s="125"/>
      <c r="G565" s="125"/>
      <c r="H565" s="163"/>
      <c r="I565" s="126"/>
      <c r="J565" s="240"/>
      <c r="K565" s="242"/>
    </row>
    <row r="566">
      <c r="A566" s="121"/>
      <c r="B566" s="122"/>
      <c r="C566" s="163"/>
      <c r="D566" s="123"/>
      <c r="E566" s="123"/>
      <c r="F566" s="125"/>
      <c r="G566" s="125"/>
      <c r="H566" s="163"/>
      <c r="I566" s="126"/>
      <c r="J566" s="240"/>
      <c r="K566" s="242"/>
    </row>
    <row r="567">
      <c r="A567" s="121"/>
      <c r="B567" s="122"/>
      <c r="C567" s="163"/>
      <c r="D567" s="123"/>
      <c r="E567" s="123"/>
      <c r="F567" s="125"/>
      <c r="G567" s="125"/>
      <c r="H567" s="163"/>
      <c r="I567" s="126"/>
      <c r="J567" s="240"/>
      <c r="K567" s="242"/>
    </row>
    <row r="568">
      <c r="A568" s="121"/>
      <c r="B568" s="122"/>
      <c r="C568" s="163"/>
      <c r="D568" s="123"/>
      <c r="E568" s="123"/>
      <c r="F568" s="125"/>
      <c r="G568" s="125"/>
      <c r="H568" s="163"/>
      <c r="I568" s="126"/>
      <c r="J568" s="240"/>
      <c r="K568" s="242"/>
    </row>
    <row r="569">
      <c r="A569" s="121"/>
      <c r="B569" s="122"/>
      <c r="C569" s="163"/>
      <c r="D569" s="123"/>
      <c r="E569" s="123"/>
      <c r="F569" s="125"/>
      <c r="G569" s="125"/>
      <c r="H569" s="163"/>
      <c r="I569" s="126"/>
      <c r="J569" s="240"/>
      <c r="K569" s="242"/>
    </row>
    <row r="570">
      <c r="A570" s="121"/>
      <c r="B570" s="122"/>
      <c r="C570" s="163"/>
      <c r="D570" s="123"/>
      <c r="E570" s="123"/>
      <c r="F570" s="125"/>
      <c r="G570" s="125"/>
      <c r="H570" s="163"/>
      <c r="I570" s="126"/>
      <c r="J570" s="240"/>
      <c r="K570" s="242"/>
    </row>
    <row r="571">
      <c r="A571" s="121"/>
      <c r="B571" s="122"/>
      <c r="C571" s="163"/>
      <c r="D571" s="123"/>
      <c r="E571" s="123"/>
      <c r="F571" s="125"/>
      <c r="G571" s="125"/>
      <c r="H571" s="163"/>
      <c r="I571" s="126"/>
      <c r="J571" s="240"/>
      <c r="K571" s="242"/>
    </row>
    <row r="572">
      <c r="A572" s="121"/>
      <c r="B572" s="122"/>
      <c r="C572" s="163"/>
      <c r="D572" s="123"/>
      <c r="E572" s="123"/>
      <c r="F572" s="125"/>
      <c r="G572" s="125"/>
      <c r="H572" s="163"/>
      <c r="I572" s="126"/>
      <c r="J572" s="240"/>
      <c r="K572" s="242"/>
    </row>
    <row r="573">
      <c r="A573" s="121"/>
      <c r="B573" s="122"/>
      <c r="C573" s="163"/>
      <c r="D573" s="123"/>
      <c r="E573" s="123"/>
      <c r="F573" s="125"/>
      <c r="G573" s="125"/>
      <c r="H573" s="163"/>
      <c r="I573" s="126"/>
      <c r="J573" s="240"/>
      <c r="K573" s="242"/>
    </row>
    <row r="574">
      <c r="A574" s="121"/>
      <c r="B574" s="122"/>
      <c r="C574" s="163"/>
      <c r="D574" s="123"/>
      <c r="E574" s="123"/>
      <c r="F574" s="125"/>
      <c r="G574" s="125"/>
      <c r="H574" s="163"/>
      <c r="I574" s="126"/>
      <c r="J574" s="240"/>
      <c r="K574" s="242"/>
    </row>
    <row r="575">
      <c r="A575" s="121"/>
      <c r="B575" s="122"/>
      <c r="C575" s="163"/>
      <c r="D575" s="123"/>
      <c r="E575" s="123"/>
      <c r="F575" s="125"/>
      <c r="G575" s="125"/>
      <c r="H575" s="163"/>
      <c r="I575" s="126"/>
      <c r="J575" s="240"/>
      <c r="K575" s="242"/>
    </row>
    <row r="576">
      <c r="A576" s="121"/>
      <c r="B576" s="122"/>
      <c r="C576" s="163"/>
      <c r="D576" s="123"/>
      <c r="E576" s="123"/>
      <c r="F576" s="125"/>
      <c r="G576" s="125"/>
      <c r="H576" s="163"/>
      <c r="I576" s="126"/>
      <c r="J576" s="240"/>
      <c r="K576" s="242"/>
    </row>
    <row r="577">
      <c r="A577" s="121"/>
      <c r="B577" s="122"/>
      <c r="C577" s="163"/>
      <c r="D577" s="123"/>
      <c r="E577" s="123"/>
      <c r="F577" s="125"/>
      <c r="G577" s="125"/>
      <c r="H577" s="163"/>
      <c r="I577" s="126"/>
      <c r="J577" s="240"/>
      <c r="K577" s="242"/>
    </row>
    <row r="578">
      <c r="A578" s="121"/>
      <c r="B578" s="122"/>
      <c r="C578" s="163"/>
      <c r="D578" s="123"/>
      <c r="E578" s="123"/>
      <c r="F578" s="125"/>
      <c r="G578" s="125"/>
      <c r="H578" s="163"/>
      <c r="I578" s="126"/>
      <c r="J578" s="240"/>
      <c r="K578" s="242"/>
    </row>
    <row r="579">
      <c r="A579" s="121"/>
      <c r="B579" s="122"/>
      <c r="C579" s="163"/>
      <c r="D579" s="123"/>
      <c r="E579" s="123"/>
      <c r="F579" s="125"/>
      <c r="G579" s="125"/>
      <c r="H579" s="163"/>
      <c r="I579" s="126"/>
      <c r="J579" s="240"/>
      <c r="K579" s="242"/>
    </row>
    <row r="580">
      <c r="A580" s="121"/>
      <c r="B580" s="122"/>
      <c r="C580" s="163"/>
      <c r="D580" s="123"/>
      <c r="E580" s="123"/>
      <c r="F580" s="125"/>
      <c r="G580" s="125"/>
      <c r="H580" s="163"/>
      <c r="I580" s="126"/>
      <c r="J580" s="240"/>
      <c r="K580" s="242"/>
    </row>
    <row r="581">
      <c r="A581" s="121"/>
      <c r="B581" s="122"/>
      <c r="C581" s="163"/>
      <c r="D581" s="123"/>
      <c r="E581" s="123"/>
      <c r="F581" s="125"/>
      <c r="G581" s="125"/>
      <c r="H581" s="163"/>
      <c r="I581" s="126"/>
      <c r="J581" s="240"/>
      <c r="K581" s="242"/>
    </row>
    <row r="582">
      <c r="A582" s="121"/>
      <c r="B582" s="122"/>
      <c r="C582" s="163"/>
      <c r="D582" s="123"/>
      <c r="E582" s="123"/>
      <c r="F582" s="125"/>
      <c r="G582" s="125"/>
      <c r="H582" s="163"/>
      <c r="I582" s="126"/>
      <c r="J582" s="240"/>
      <c r="K582" s="242"/>
    </row>
    <row r="583">
      <c r="A583" s="121"/>
      <c r="B583" s="122"/>
      <c r="C583" s="163"/>
      <c r="D583" s="123"/>
      <c r="E583" s="123"/>
      <c r="F583" s="125"/>
      <c r="G583" s="125"/>
      <c r="H583" s="163"/>
      <c r="I583" s="126"/>
      <c r="J583" s="240"/>
      <c r="K583" s="242"/>
    </row>
    <row r="584">
      <c r="A584" s="121"/>
      <c r="B584" s="122"/>
      <c r="C584" s="163"/>
      <c r="D584" s="123"/>
      <c r="E584" s="123"/>
      <c r="F584" s="125"/>
      <c r="G584" s="125"/>
      <c r="H584" s="163"/>
      <c r="I584" s="126"/>
      <c r="J584" s="240"/>
      <c r="K584" s="242"/>
    </row>
    <row r="585">
      <c r="A585" s="121"/>
      <c r="B585" s="122"/>
      <c r="C585" s="163"/>
      <c r="D585" s="123"/>
      <c r="E585" s="123"/>
      <c r="F585" s="125"/>
      <c r="G585" s="125"/>
      <c r="H585" s="163"/>
      <c r="I585" s="126"/>
      <c r="J585" s="240"/>
      <c r="K585" s="242"/>
    </row>
    <row r="586">
      <c r="A586" s="121"/>
      <c r="B586" s="122"/>
      <c r="C586" s="163"/>
      <c r="D586" s="123"/>
      <c r="E586" s="123"/>
      <c r="F586" s="125"/>
      <c r="G586" s="125"/>
      <c r="H586" s="163"/>
      <c r="I586" s="126"/>
      <c r="J586" s="240"/>
      <c r="K586" s="242"/>
    </row>
    <row r="587">
      <c r="A587" s="121"/>
      <c r="B587" s="122"/>
      <c r="C587" s="163"/>
      <c r="D587" s="123"/>
      <c r="E587" s="123"/>
      <c r="F587" s="125"/>
      <c r="G587" s="125"/>
      <c r="H587" s="163"/>
      <c r="I587" s="126"/>
      <c r="J587" s="240"/>
      <c r="K587" s="242"/>
    </row>
    <row r="588">
      <c r="A588" s="121"/>
      <c r="B588" s="122"/>
      <c r="C588" s="163"/>
      <c r="D588" s="123"/>
      <c r="E588" s="123"/>
      <c r="F588" s="125"/>
      <c r="G588" s="125"/>
      <c r="H588" s="163"/>
      <c r="I588" s="126"/>
      <c r="J588" s="240"/>
      <c r="K588" s="242"/>
    </row>
    <row r="589">
      <c r="A589" s="121"/>
      <c r="B589" s="122"/>
      <c r="C589" s="163"/>
      <c r="D589" s="123"/>
      <c r="E589" s="123"/>
      <c r="F589" s="125"/>
      <c r="G589" s="125"/>
      <c r="H589" s="163"/>
      <c r="I589" s="126"/>
      <c r="J589" s="240"/>
      <c r="K589" s="242"/>
    </row>
    <row r="590">
      <c r="A590" s="121"/>
      <c r="B590" s="122"/>
      <c r="C590" s="163"/>
      <c r="D590" s="123"/>
      <c r="E590" s="123"/>
      <c r="F590" s="125"/>
      <c r="G590" s="125"/>
      <c r="H590" s="163"/>
      <c r="I590" s="126"/>
      <c r="J590" s="240"/>
      <c r="K590" s="242"/>
    </row>
    <row r="591">
      <c r="A591" s="121"/>
      <c r="B591" s="122"/>
      <c r="C591" s="163"/>
      <c r="D591" s="123"/>
      <c r="E591" s="123"/>
      <c r="F591" s="125"/>
      <c r="G591" s="125"/>
      <c r="H591" s="163"/>
      <c r="I591" s="126"/>
      <c r="J591" s="240"/>
      <c r="K591" s="242"/>
    </row>
    <row r="592">
      <c r="A592" s="121"/>
      <c r="B592" s="122"/>
      <c r="C592" s="163"/>
      <c r="D592" s="123"/>
      <c r="E592" s="123"/>
      <c r="F592" s="125"/>
      <c r="G592" s="125"/>
      <c r="H592" s="163"/>
      <c r="I592" s="126"/>
      <c r="J592" s="240"/>
      <c r="K592" s="242"/>
    </row>
    <row r="593">
      <c r="A593" s="121"/>
      <c r="B593" s="122"/>
      <c r="C593" s="163"/>
      <c r="D593" s="123"/>
      <c r="E593" s="123"/>
      <c r="F593" s="125"/>
      <c r="G593" s="125"/>
      <c r="H593" s="163"/>
      <c r="I593" s="126"/>
      <c r="J593" s="240"/>
      <c r="K593" s="242"/>
    </row>
    <row r="594">
      <c r="A594" s="121"/>
      <c r="B594" s="122"/>
      <c r="C594" s="163"/>
      <c r="D594" s="123"/>
      <c r="E594" s="123"/>
      <c r="F594" s="125"/>
      <c r="G594" s="125"/>
      <c r="H594" s="163"/>
      <c r="I594" s="126"/>
      <c r="J594" s="240"/>
      <c r="K594" s="242"/>
    </row>
    <row r="595">
      <c r="A595" s="121"/>
      <c r="B595" s="122"/>
      <c r="C595" s="163"/>
      <c r="D595" s="123"/>
      <c r="E595" s="123"/>
      <c r="F595" s="125"/>
      <c r="G595" s="125"/>
      <c r="H595" s="163"/>
      <c r="I595" s="126"/>
      <c r="J595" s="240"/>
      <c r="K595" s="242"/>
    </row>
    <row r="596">
      <c r="A596" s="121"/>
      <c r="B596" s="122"/>
      <c r="C596" s="163"/>
      <c r="D596" s="123"/>
      <c r="E596" s="123"/>
      <c r="F596" s="125"/>
      <c r="G596" s="125"/>
      <c r="H596" s="163"/>
      <c r="I596" s="126"/>
      <c r="J596" s="240"/>
      <c r="K596" s="242"/>
    </row>
    <row r="597">
      <c r="A597" s="121"/>
      <c r="B597" s="122"/>
      <c r="C597" s="163"/>
      <c r="D597" s="123"/>
      <c r="E597" s="123"/>
      <c r="F597" s="125"/>
      <c r="G597" s="125"/>
      <c r="H597" s="163"/>
      <c r="I597" s="126"/>
      <c r="J597" s="240"/>
      <c r="K597" s="242"/>
    </row>
    <row r="598">
      <c r="A598" s="121"/>
      <c r="B598" s="122"/>
      <c r="C598" s="163"/>
      <c r="D598" s="123"/>
      <c r="E598" s="123"/>
      <c r="F598" s="125"/>
      <c r="G598" s="125"/>
      <c r="H598" s="163"/>
      <c r="I598" s="126"/>
      <c r="J598" s="240"/>
      <c r="K598" s="242"/>
    </row>
    <row r="599">
      <c r="A599" s="121"/>
      <c r="B599" s="122"/>
      <c r="C599" s="163"/>
      <c r="D599" s="123"/>
      <c r="E599" s="123"/>
      <c r="F599" s="125"/>
      <c r="G599" s="125"/>
      <c r="H599" s="163"/>
      <c r="I599" s="126"/>
      <c r="J599" s="240"/>
      <c r="K599" s="242"/>
    </row>
    <row r="600">
      <c r="A600" s="121"/>
      <c r="B600" s="122"/>
      <c r="C600" s="163"/>
      <c r="D600" s="123"/>
      <c r="E600" s="123"/>
      <c r="F600" s="125"/>
      <c r="G600" s="125"/>
      <c r="H600" s="163"/>
      <c r="I600" s="126"/>
      <c r="J600" s="240"/>
      <c r="K600" s="242"/>
    </row>
    <row r="601">
      <c r="A601" s="121"/>
      <c r="B601" s="122"/>
      <c r="C601" s="163"/>
      <c r="D601" s="123"/>
      <c r="E601" s="123"/>
      <c r="F601" s="125"/>
      <c r="G601" s="125"/>
      <c r="H601" s="163"/>
      <c r="I601" s="126"/>
      <c r="J601" s="240"/>
      <c r="K601" s="242"/>
    </row>
    <row r="602">
      <c r="A602" s="121"/>
      <c r="B602" s="122"/>
      <c r="C602" s="163"/>
      <c r="D602" s="123"/>
      <c r="E602" s="123"/>
      <c r="F602" s="125"/>
      <c r="G602" s="125"/>
      <c r="H602" s="163"/>
      <c r="I602" s="126"/>
      <c r="J602" s="240"/>
      <c r="K602" s="242"/>
    </row>
    <row r="603">
      <c r="A603" s="121"/>
      <c r="B603" s="122"/>
      <c r="C603" s="163"/>
      <c r="D603" s="123"/>
      <c r="E603" s="123"/>
      <c r="F603" s="125"/>
      <c r="G603" s="125"/>
      <c r="H603" s="163"/>
      <c r="I603" s="126"/>
      <c r="J603" s="240"/>
      <c r="K603" s="242"/>
    </row>
    <row r="604">
      <c r="A604" s="121"/>
      <c r="B604" s="122"/>
      <c r="C604" s="163"/>
      <c r="D604" s="123"/>
      <c r="E604" s="123"/>
      <c r="F604" s="125"/>
      <c r="G604" s="125"/>
      <c r="H604" s="163"/>
      <c r="I604" s="126"/>
      <c r="J604" s="240"/>
      <c r="K604" s="242"/>
    </row>
    <row r="605">
      <c r="A605" s="121"/>
      <c r="B605" s="122"/>
      <c r="C605" s="163"/>
      <c r="D605" s="123"/>
      <c r="E605" s="123"/>
      <c r="F605" s="125"/>
      <c r="G605" s="125"/>
      <c r="H605" s="163"/>
      <c r="I605" s="126"/>
      <c r="J605" s="240"/>
      <c r="K605" s="242"/>
    </row>
    <row r="606">
      <c r="A606" s="121"/>
      <c r="B606" s="122"/>
      <c r="C606" s="163"/>
      <c r="D606" s="123"/>
      <c r="E606" s="123"/>
      <c r="F606" s="125"/>
      <c r="G606" s="125"/>
      <c r="H606" s="163"/>
      <c r="I606" s="126"/>
      <c r="J606" s="240"/>
      <c r="K606" s="242"/>
    </row>
    <row r="607">
      <c r="A607" s="121"/>
      <c r="B607" s="122"/>
      <c r="C607" s="163"/>
      <c r="D607" s="123"/>
      <c r="E607" s="123"/>
      <c r="F607" s="125"/>
      <c r="G607" s="125"/>
      <c r="H607" s="163"/>
      <c r="I607" s="126"/>
      <c r="J607" s="240"/>
      <c r="K607" s="242"/>
    </row>
    <row r="608">
      <c r="A608" s="121"/>
      <c r="B608" s="122"/>
      <c r="C608" s="163"/>
      <c r="D608" s="123"/>
      <c r="E608" s="123"/>
      <c r="F608" s="125"/>
      <c r="G608" s="125"/>
      <c r="H608" s="163"/>
      <c r="I608" s="126"/>
      <c r="J608" s="240"/>
      <c r="K608" s="242"/>
    </row>
    <row r="609">
      <c r="A609" s="121"/>
      <c r="B609" s="122"/>
      <c r="C609" s="163"/>
      <c r="D609" s="123"/>
      <c r="E609" s="123"/>
      <c r="F609" s="125"/>
      <c r="G609" s="125"/>
      <c r="H609" s="163"/>
      <c r="I609" s="126"/>
      <c r="J609" s="240"/>
      <c r="K609" s="242"/>
    </row>
    <row r="610">
      <c r="A610" s="121"/>
      <c r="B610" s="122"/>
      <c r="C610" s="163"/>
      <c r="D610" s="123"/>
      <c r="E610" s="123"/>
      <c r="F610" s="125"/>
      <c r="G610" s="125"/>
      <c r="H610" s="163"/>
      <c r="I610" s="126"/>
      <c r="J610" s="240"/>
      <c r="K610" s="242"/>
    </row>
    <row r="611">
      <c r="A611" s="121"/>
      <c r="B611" s="122"/>
      <c r="C611" s="163"/>
      <c r="D611" s="123"/>
      <c r="E611" s="123"/>
      <c r="F611" s="125"/>
      <c r="G611" s="125"/>
      <c r="H611" s="163"/>
      <c r="I611" s="126"/>
      <c r="J611" s="240"/>
      <c r="K611" s="242"/>
    </row>
    <row r="612">
      <c r="A612" s="121"/>
      <c r="B612" s="122"/>
      <c r="C612" s="163"/>
      <c r="D612" s="123"/>
      <c r="E612" s="123"/>
      <c r="F612" s="125"/>
      <c r="G612" s="125"/>
      <c r="H612" s="163"/>
      <c r="I612" s="126"/>
      <c r="J612" s="240"/>
      <c r="K612" s="242"/>
    </row>
    <row r="613">
      <c r="A613" s="121"/>
      <c r="B613" s="122"/>
      <c r="C613" s="163"/>
      <c r="D613" s="123"/>
      <c r="E613" s="123"/>
      <c r="F613" s="125"/>
      <c r="G613" s="125"/>
      <c r="H613" s="163"/>
      <c r="I613" s="126"/>
      <c r="J613" s="240"/>
      <c r="K613" s="242"/>
    </row>
    <row r="614">
      <c r="A614" s="121"/>
      <c r="B614" s="122"/>
      <c r="C614" s="163"/>
      <c r="D614" s="123"/>
      <c r="E614" s="123"/>
      <c r="F614" s="125"/>
      <c r="G614" s="125"/>
      <c r="H614" s="163"/>
      <c r="I614" s="126"/>
      <c r="J614" s="240"/>
      <c r="K614" s="242"/>
    </row>
    <row r="615">
      <c r="A615" s="121"/>
      <c r="B615" s="122"/>
      <c r="C615" s="163"/>
      <c r="D615" s="123"/>
      <c r="E615" s="123"/>
      <c r="F615" s="125"/>
      <c r="G615" s="125"/>
      <c r="H615" s="163"/>
      <c r="I615" s="126"/>
      <c r="J615" s="240"/>
      <c r="K615" s="242"/>
    </row>
    <row r="616">
      <c r="A616" s="121"/>
      <c r="B616" s="122"/>
      <c r="C616" s="163"/>
      <c r="D616" s="123"/>
      <c r="E616" s="123"/>
      <c r="F616" s="125"/>
      <c r="G616" s="125"/>
      <c r="H616" s="163"/>
      <c r="I616" s="126"/>
      <c r="J616" s="240"/>
      <c r="K616" s="242"/>
    </row>
    <row r="617">
      <c r="A617" s="121"/>
      <c r="B617" s="122"/>
      <c r="C617" s="163"/>
      <c r="D617" s="123"/>
      <c r="E617" s="123"/>
      <c r="F617" s="125"/>
      <c r="G617" s="125"/>
      <c r="H617" s="163"/>
      <c r="I617" s="126"/>
      <c r="J617" s="240"/>
      <c r="K617" s="242"/>
    </row>
    <row r="618">
      <c r="A618" s="121"/>
      <c r="B618" s="122"/>
      <c r="C618" s="163"/>
      <c r="D618" s="123"/>
      <c r="E618" s="123"/>
      <c r="F618" s="125"/>
      <c r="G618" s="125"/>
      <c r="H618" s="163"/>
      <c r="I618" s="126"/>
      <c r="J618" s="240"/>
      <c r="K618" s="242"/>
    </row>
    <row r="619">
      <c r="A619" s="121"/>
      <c r="B619" s="122"/>
      <c r="C619" s="163"/>
      <c r="D619" s="123"/>
      <c r="E619" s="123"/>
      <c r="F619" s="125"/>
      <c r="G619" s="125"/>
      <c r="H619" s="163"/>
      <c r="I619" s="126"/>
      <c r="J619" s="240"/>
      <c r="K619" s="242"/>
    </row>
    <row r="620">
      <c r="A620" s="121"/>
      <c r="B620" s="122"/>
      <c r="C620" s="163"/>
      <c r="D620" s="123"/>
      <c r="E620" s="123"/>
      <c r="F620" s="125"/>
      <c r="G620" s="125"/>
      <c r="H620" s="163"/>
      <c r="I620" s="126"/>
      <c r="J620" s="240"/>
      <c r="K620" s="242"/>
    </row>
    <row r="621">
      <c r="A621" s="121"/>
      <c r="B621" s="122"/>
      <c r="C621" s="163"/>
      <c r="D621" s="123"/>
      <c r="E621" s="123"/>
      <c r="F621" s="125"/>
      <c r="G621" s="125"/>
      <c r="H621" s="163"/>
      <c r="I621" s="126"/>
      <c r="J621" s="240"/>
      <c r="K621" s="242"/>
    </row>
    <row r="622">
      <c r="A622" s="121"/>
      <c r="B622" s="122"/>
      <c r="C622" s="163"/>
      <c r="D622" s="123"/>
      <c r="E622" s="123"/>
      <c r="F622" s="125"/>
      <c r="G622" s="125"/>
      <c r="H622" s="163"/>
      <c r="I622" s="126"/>
      <c r="J622" s="240"/>
      <c r="K622" s="242"/>
    </row>
    <row r="623">
      <c r="A623" s="121"/>
      <c r="B623" s="122"/>
      <c r="C623" s="163"/>
      <c r="D623" s="123"/>
      <c r="E623" s="123"/>
      <c r="F623" s="125"/>
      <c r="G623" s="125"/>
      <c r="H623" s="163"/>
      <c r="I623" s="126"/>
      <c r="J623" s="240"/>
      <c r="K623" s="242"/>
    </row>
    <row r="624">
      <c r="A624" s="121"/>
      <c r="B624" s="122"/>
      <c r="C624" s="163"/>
      <c r="D624" s="123"/>
      <c r="E624" s="123"/>
      <c r="F624" s="125"/>
      <c r="G624" s="125"/>
      <c r="H624" s="163"/>
      <c r="I624" s="126"/>
      <c r="J624" s="240"/>
      <c r="K624" s="242"/>
    </row>
    <row r="625">
      <c r="A625" s="121"/>
      <c r="B625" s="122"/>
      <c r="C625" s="163"/>
      <c r="D625" s="123"/>
      <c r="E625" s="123"/>
      <c r="F625" s="125"/>
      <c r="G625" s="125"/>
      <c r="H625" s="163"/>
      <c r="I625" s="126"/>
      <c r="J625" s="240"/>
      <c r="K625" s="242"/>
    </row>
    <row r="626">
      <c r="A626" s="121"/>
      <c r="B626" s="122"/>
      <c r="C626" s="163"/>
      <c r="D626" s="123"/>
      <c r="E626" s="123"/>
      <c r="F626" s="125"/>
      <c r="G626" s="125"/>
      <c r="H626" s="163"/>
      <c r="I626" s="126"/>
      <c r="J626" s="240"/>
      <c r="K626" s="242"/>
    </row>
    <row r="627">
      <c r="A627" s="121"/>
      <c r="B627" s="122"/>
      <c r="C627" s="163"/>
      <c r="D627" s="123"/>
      <c r="E627" s="123"/>
      <c r="F627" s="125"/>
      <c r="G627" s="125"/>
      <c r="H627" s="163"/>
      <c r="I627" s="126"/>
      <c r="J627" s="240"/>
      <c r="K627" s="242"/>
    </row>
    <row r="628">
      <c r="A628" s="121"/>
      <c r="B628" s="122"/>
      <c r="C628" s="163"/>
      <c r="D628" s="123"/>
      <c r="E628" s="123"/>
      <c r="F628" s="125"/>
      <c r="G628" s="125"/>
      <c r="H628" s="163"/>
      <c r="I628" s="126"/>
      <c r="J628" s="240"/>
      <c r="K628" s="242"/>
    </row>
    <row r="629">
      <c r="A629" s="121"/>
      <c r="B629" s="122"/>
      <c r="C629" s="163"/>
      <c r="D629" s="123"/>
      <c r="E629" s="123"/>
      <c r="F629" s="125"/>
      <c r="G629" s="125"/>
      <c r="H629" s="163"/>
      <c r="I629" s="126"/>
      <c r="J629" s="240"/>
      <c r="K629" s="242"/>
    </row>
    <row r="630">
      <c r="A630" s="121"/>
      <c r="B630" s="122"/>
      <c r="C630" s="163"/>
      <c r="D630" s="123"/>
      <c r="E630" s="123"/>
      <c r="F630" s="125"/>
      <c r="G630" s="125"/>
      <c r="H630" s="163"/>
      <c r="I630" s="126"/>
      <c r="J630" s="240"/>
      <c r="K630" s="242"/>
    </row>
    <row r="631">
      <c r="A631" s="121"/>
      <c r="B631" s="122"/>
      <c r="C631" s="163"/>
      <c r="D631" s="123"/>
      <c r="E631" s="123"/>
      <c r="F631" s="125"/>
      <c r="G631" s="125"/>
      <c r="H631" s="163"/>
      <c r="I631" s="126"/>
      <c r="J631" s="240"/>
      <c r="K631" s="242"/>
    </row>
    <row r="632">
      <c r="A632" s="121"/>
      <c r="B632" s="122"/>
      <c r="C632" s="163"/>
      <c r="D632" s="123"/>
      <c r="E632" s="123"/>
      <c r="F632" s="125"/>
      <c r="G632" s="125"/>
      <c r="H632" s="163"/>
      <c r="I632" s="126"/>
      <c r="J632" s="240"/>
      <c r="K632" s="242"/>
    </row>
    <row r="633">
      <c r="A633" s="121"/>
      <c r="B633" s="122"/>
      <c r="C633" s="163"/>
      <c r="D633" s="123"/>
      <c r="E633" s="123"/>
      <c r="F633" s="125"/>
      <c r="G633" s="125"/>
      <c r="H633" s="163"/>
      <c r="I633" s="126"/>
      <c r="J633" s="240"/>
      <c r="K633" s="242"/>
    </row>
    <row r="634">
      <c r="A634" s="121"/>
      <c r="B634" s="122"/>
      <c r="C634" s="163"/>
      <c r="D634" s="123"/>
      <c r="E634" s="123"/>
      <c r="F634" s="125"/>
      <c r="G634" s="125"/>
      <c r="H634" s="163"/>
      <c r="I634" s="126"/>
      <c r="J634" s="240"/>
      <c r="K634" s="242"/>
    </row>
    <row r="635">
      <c r="A635" s="121"/>
      <c r="B635" s="122"/>
      <c r="C635" s="163"/>
      <c r="D635" s="123"/>
      <c r="E635" s="123"/>
      <c r="F635" s="125"/>
      <c r="G635" s="125"/>
      <c r="H635" s="163"/>
      <c r="I635" s="126"/>
      <c r="J635" s="240"/>
      <c r="K635" s="242"/>
    </row>
    <row r="636">
      <c r="A636" s="121"/>
      <c r="B636" s="122"/>
      <c r="C636" s="163"/>
      <c r="D636" s="123"/>
      <c r="E636" s="123"/>
      <c r="F636" s="125"/>
      <c r="G636" s="125"/>
      <c r="H636" s="163"/>
      <c r="I636" s="126"/>
      <c r="J636" s="240"/>
      <c r="K636" s="242"/>
    </row>
    <row r="637">
      <c r="A637" s="121"/>
      <c r="B637" s="122"/>
      <c r="C637" s="163"/>
      <c r="D637" s="123"/>
      <c r="E637" s="123"/>
      <c r="F637" s="125"/>
      <c r="G637" s="125"/>
      <c r="H637" s="163"/>
      <c r="I637" s="126"/>
      <c r="J637" s="240"/>
      <c r="K637" s="242"/>
    </row>
    <row r="638">
      <c r="A638" s="121"/>
      <c r="B638" s="122"/>
      <c r="C638" s="163"/>
      <c r="D638" s="123"/>
      <c r="E638" s="123"/>
      <c r="F638" s="125"/>
      <c r="G638" s="125"/>
      <c r="H638" s="163"/>
      <c r="I638" s="126"/>
      <c r="J638" s="240"/>
      <c r="K638" s="242"/>
    </row>
    <row r="639">
      <c r="A639" s="121"/>
      <c r="B639" s="122"/>
      <c r="C639" s="163"/>
      <c r="D639" s="123"/>
      <c r="E639" s="123"/>
      <c r="F639" s="125"/>
      <c r="G639" s="125"/>
      <c r="H639" s="163"/>
      <c r="I639" s="126"/>
      <c r="J639" s="240"/>
      <c r="K639" s="242"/>
    </row>
    <row r="640">
      <c r="A640" s="121"/>
      <c r="B640" s="122"/>
      <c r="C640" s="163"/>
      <c r="D640" s="123"/>
      <c r="E640" s="123"/>
      <c r="F640" s="125"/>
      <c r="G640" s="125"/>
      <c r="H640" s="163"/>
      <c r="I640" s="126"/>
      <c r="J640" s="240"/>
      <c r="K640" s="242"/>
    </row>
    <row r="641">
      <c r="A641" s="121"/>
      <c r="B641" s="122"/>
      <c r="C641" s="163"/>
      <c r="D641" s="123"/>
      <c r="E641" s="123"/>
      <c r="F641" s="125"/>
      <c r="G641" s="125"/>
      <c r="H641" s="163"/>
      <c r="I641" s="126"/>
      <c r="J641" s="240"/>
      <c r="K641" s="242"/>
    </row>
    <row r="642">
      <c r="A642" s="121"/>
      <c r="B642" s="122"/>
      <c r="C642" s="163"/>
      <c r="D642" s="123"/>
      <c r="E642" s="123"/>
      <c r="F642" s="125"/>
      <c r="G642" s="125"/>
      <c r="H642" s="163"/>
      <c r="I642" s="126"/>
      <c r="J642" s="240"/>
      <c r="K642" s="242"/>
    </row>
    <row r="643">
      <c r="A643" s="121"/>
      <c r="B643" s="122"/>
      <c r="C643" s="163"/>
      <c r="D643" s="123"/>
      <c r="E643" s="123"/>
      <c r="F643" s="125"/>
      <c r="G643" s="125"/>
      <c r="H643" s="163"/>
      <c r="I643" s="126"/>
      <c r="J643" s="240"/>
      <c r="K643" s="242"/>
    </row>
    <row r="644">
      <c r="A644" s="121"/>
      <c r="B644" s="122"/>
      <c r="C644" s="163"/>
      <c r="D644" s="123"/>
      <c r="E644" s="123"/>
      <c r="F644" s="125"/>
      <c r="G644" s="125"/>
      <c r="H644" s="163"/>
      <c r="I644" s="126"/>
      <c r="J644" s="240"/>
      <c r="K644" s="242"/>
    </row>
    <row r="645">
      <c r="A645" s="121"/>
      <c r="B645" s="122"/>
      <c r="C645" s="163"/>
      <c r="D645" s="123"/>
      <c r="E645" s="123"/>
      <c r="F645" s="125"/>
      <c r="G645" s="125"/>
      <c r="H645" s="163"/>
      <c r="I645" s="126"/>
      <c r="J645" s="240"/>
      <c r="K645" s="242"/>
    </row>
    <row r="646">
      <c r="A646" s="121"/>
      <c r="B646" s="122"/>
      <c r="C646" s="163"/>
      <c r="D646" s="123"/>
      <c r="E646" s="123"/>
      <c r="F646" s="125"/>
      <c r="G646" s="125"/>
      <c r="H646" s="163"/>
      <c r="I646" s="126"/>
      <c r="J646" s="240"/>
      <c r="K646" s="242"/>
    </row>
    <row r="647">
      <c r="A647" s="121"/>
      <c r="B647" s="122"/>
      <c r="C647" s="163"/>
      <c r="D647" s="123"/>
      <c r="E647" s="123"/>
      <c r="F647" s="125"/>
      <c r="G647" s="125"/>
      <c r="H647" s="163"/>
      <c r="I647" s="126"/>
      <c r="J647" s="240"/>
      <c r="K647" s="242"/>
    </row>
    <row r="648">
      <c r="A648" s="121"/>
      <c r="B648" s="122"/>
      <c r="C648" s="163"/>
      <c r="D648" s="123"/>
      <c r="E648" s="123"/>
      <c r="F648" s="125"/>
      <c r="G648" s="125"/>
      <c r="H648" s="163"/>
      <c r="I648" s="126"/>
      <c r="J648" s="240"/>
      <c r="K648" s="242"/>
    </row>
    <row r="649">
      <c r="A649" s="121"/>
      <c r="B649" s="122"/>
      <c r="C649" s="163"/>
      <c r="D649" s="123"/>
      <c r="E649" s="123"/>
      <c r="F649" s="125"/>
      <c r="G649" s="125"/>
      <c r="H649" s="163"/>
      <c r="I649" s="126"/>
      <c r="J649" s="240"/>
      <c r="K649" s="242"/>
    </row>
    <row r="650">
      <c r="A650" s="121"/>
      <c r="B650" s="122"/>
      <c r="C650" s="163"/>
      <c r="D650" s="123"/>
      <c r="E650" s="123"/>
      <c r="F650" s="125"/>
      <c r="G650" s="125"/>
      <c r="H650" s="163"/>
      <c r="I650" s="126"/>
      <c r="J650" s="240"/>
      <c r="K650" s="242"/>
    </row>
    <row r="651">
      <c r="A651" s="121"/>
      <c r="B651" s="122"/>
      <c r="C651" s="163"/>
      <c r="D651" s="123"/>
      <c r="E651" s="123"/>
      <c r="F651" s="125"/>
      <c r="G651" s="125"/>
      <c r="H651" s="163"/>
      <c r="I651" s="126"/>
      <c r="J651" s="240"/>
      <c r="K651" s="242"/>
    </row>
    <row r="652">
      <c r="A652" s="121"/>
      <c r="B652" s="122"/>
      <c r="C652" s="163"/>
      <c r="D652" s="123"/>
      <c r="E652" s="123"/>
      <c r="F652" s="125"/>
      <c r="G652" s="125"/>
      <c r="H652" s="163"/>
      <c r="I652" s="126"/>
      <c r="J652" s="240"/>
      <c r="K652" s="242"/>
    </row>
    <row r="653">
      <c r="A653" s="121"/>
      <c r="B653" s="122"/>
      <c r="C653" s="163"/>
      <c r="D653" s="123"/>
      <c r="E653" s="123"/>
      <c r="F653" s="125"/>
      <c r="G653" s="125"/>
      <c r="H653" s="163"/>
      <c r="I653" s="126"/>
      <c r="J653" s="240"/>
      <c r="K653" s="242"/>
    </row>
    <row r="654">
      <c r="A654" s="121"/>
      <c r="B654" s="122"/>
      <c r="C654" s="163"/>
      <c r="D654" s="123"/>
      <c r="E654" s="123"/>
      <c r="F654" s="125"/>
      <c r="G654" s="125"/>
      <c r="H654" s="163"/>
      <c r="I654" s="126"/>
      <c r="J654" s="240"/>
      <c r="K654" s="242"/>
    </row>
    <row r="655">
      <c r="A655" s="121"/>
      <c r="B655" s="122"/>
      <c r="C655" s="163"/>
      <c r="D655" s="123"/>
      <c r="E655" s="123"/>
      <c r="F655" s="125"/>
      <c r="G655" s="125"/>
      <c r="H655" s="163"/>
      <c r="I655" s="126"/>
      <c r="J655" s="240"/>
      <c r="K655" s="242"/>
    </row>
    <row r="656">
      <c r="A656" s="121"/>
      <c r="B656" s="122"/>
      <c r="C656" s="163"/>
      <c r="D656" s="123"/>
      <c r="E656" s="123"/>
      <c r="F656" s="125"/>
      <c r="G656" s="125"/>
      <c r="H656" s="163"/>
      <c r="I656" s="126"/>
      <c r="J656" s="240"/>
      <c r="K656" s="242"/>
    </row>
    <row r="657">
      <c r="A657" s="121"/>
      <c r="B657" s="122"/>
      <c r="C657" s="163"/>
      <c r="D657" s="123"/>
      <c r="E657" s="123"/>
      <c r="F657" s="125"/>
      <c r="G657" s="125"/>
      <c r="H657" s="163"/>
      <c r="I657" s="126"/>
      <c r="J657" s="240"/>
      <c r="K657" s="242"/>
    </row>
    <row r="658">
      <c r="A658" s="121"/>
      <c r="B658" s="122"/>
      <c r="C658" s="163"/>
      <c r="D658" s="123"/>
      <c r="E658" s="123"/>
      <c r="F658" s="125"/>
      <c r="G658" s="125"/>
      <c r="H658" s="163"/>
      <c r="I658" s="126"/>
      <c r="J658" s="240"/>
      <c r="K658" s="242"/>
    </row>
    <row r="659">
      <c r="A659" s="121"/>
      <c r="B659" s="122"/>
      <c r="C659" s="163"/>
      <c r="D659" s="123"/>
      <c r="E659" s="123"/>
      <c r="F659" s="125"/>
      <c r="G659" s="125"/>
      <c r="H659" s="163"/>
      <c r="I659" s="126"/>
      <c r="J659" s="240"/>
      <c r="K659" s="242"/>
    </row>
    <row r="660">
      <c r="A660" s="121"/>
      <c r="B660" s="122"/>
      <c r="C660" s="163"/>
      <c r="D660" s="123"/>
      <c r="E660" s="123"/>
      <c r="F660" s="125"/>
      <c r="G660" s="125"/>
      <c r="H660" s="163"/>
      <c r="I660" s="126"/>
      <c r="J660" s="240"/>
      <c r="K660" s="242"/>
    </row>
    <row r="661">
      <c r="A661" s="121"/>
      <c r="B661" s="122"/>
      <c r="C661" s="163"/>
      <c r="D661" s="123"/>
      <c r="E661" s="123"/>
      <c r="F661" s="125"/>
      <c r="G661" s="125"/>
      <c r="H661" s="163"/>
      <c r="I661" s="126"/>
      <c r="J661" s="240"/>
      <c r="K661" s="242"/>
    </row>
    <row r="662">
      <c r="A662" s="121"/>
      <c r="B662" s="122"/>
      <c r="C662" s="163"/>
      <c r="D662" s="123"/>
      <c r="E662" s="123"/>
      <c r="F662" s="125"/>
      <c r="G662" s="125"/>
      <c r="H662" s="163"/>
      <c r="I662" s="126"/>
      <c r="J662" s="240"/>
      <c r="K662" s="242"/>
    </row>
    <row r="663">
      <c r="A663" s="121"/>
      <c r="B663" s="122"/>
      <c r="C663" s="163"/>
      <c r="D663" s="123"/>
      <c r="E663" s="123"/>
      <c r="F663" s="125"/>
      <c r="G663" s="125"/>
      <c r="H663" s="163"/>
      <c r="I663" s="126"/>
      <c r="J663" s="240"/>
      <c r="K663" s="242"/>
    </row>
    <row r="664">
      <c r="A664" s="121"/>
      <c r="B664" s="122"/>
      <c r="C664" s="163"/>
      <c r="D664" s="123"/>
      <c r="E664" s="123"/>
      <c r="F664" s="125"/>
      <c r="G664" s="125"/>
      <c r="H664" s="163"/>
      <c r="I664" s="126"/>
      <c r="J664" s="240"/>
      <c r="K664" s="242"/>
    </row>
    <row r="665">
      <c r="A665" s="121"/>
      <c r="B665" s="122"/>
      <c r="C665" s="163"/>
      <c r="D665" s="123"/>
      <c r="E665" s="123"/>
      <c r="F665" s="125"/>
      <c r="G665" s="125"/>
      <c r="H665" s="163"/>
      <c r="I665" s="126"/>
      <c r="J665" s="240"/>
      <c r="K665" s="242"/>
    </row>
    <row r="666">
      <c r="A666" s="121"/>
      <c r="B666" s="122"/>
      <c r="C666" s="163"/>
      <c r="D666" s="123"/>
      <c r="E666" s="123"/>
      <c r="F666" s="125"/>
      <c r="G666" s="125"/>
      <c r="H666" s="163"/>
      <c r="I666" s="126"/>
      <c r="J666" s="240"/>
      <c r="K666" s="242"/>
    </row>
    <row r="667">
      <c r="A667" s="121"/>
      <c r="B667" s="122"/>
      <c r="C667" s="163"/>
      <c r="D667" s="123"/>
      <c r="E667" s="123"/>
      <c r="F667" s="125"/>
      <c r="G667" s="125"/>
      <c r="H667" s="163"/>
      <c r="I667" s="126"/>
      <c r="J667" s="240"/>
      <c r="K667" s="242"/>
    </row>
    <row r="668">
      <c r="A668" s="121"/>
      <c r="B668" s="122"/>
      <c r="C668" s="163"/>
      <c r="D668" s="123"/>
      <c r="E668" s="123"/>
      <c r="F668" s="125"/>
      <c r="G668" s="125"/>
      <c r="H668" s="163"/>
      <c r="I668" s="126"/>
      <c r="J668" s="240"/>
      <c r="K668" s="242"/>
    </row>
    <row r="669">
      <c r="A669" s="121"/>
      <c r="B669" s="122"/>
      <c r="C669" s="163"/>
      <c r="D669" s="123"/>
      <c r="E669" s="123"/>
      <c r="F669" s="125"/>
      <c r="G669" s="125"/>
      <c r="H669" s="163"/>
      <c r="I669" s="126"/>
      <c r="J669" s="240"/>
      <c r="K669" s="242"/>
    </row>
    <row r="670">
      <c r="A670" s="121"/>
      <c r="B670" s="122"/>
      <c r="C670" s="163"/>
      <c r="D670" s="123"/>
      <c r="E670" s="123"/>
      <c r="F670" s="125"/>
      <c r="G670" s="125"/>
      <c r="H670" s="163"/>
      <c r="I670" s="126"/>
      <c r="J670" s="240"/>
      <c r="K670" s="242"/>
    </row>
    <row r="671">
      <c r="A671" s="121"/>
      <c r="B671" s="122"/>
      <c r="C671" s="163"/>
      <c r="D671" s="123"/>
      <c r="E671" s="123"/>
      <c r="F671" s="125"/>
      <c r="G671" s="125"/>
      <c r="H671" s="163"/>
      <c r="I671" s="126"/>
      <c r="J671" s="240"/>
      <c r="K671" s="242"/>
    </row>
    <row r="672">
      <c r="A672" s="121"/>
      <c r="B672" s="122"/>
      <c r="C672" s="163"/>
      <c r="D672" s="123"/>
      <c r="E672" s="123"/>
      <c r="F672" s="125"/>
      <c r="G672" s="125"/>
      <c r="H672" s="163"/>
      <c r="I672" s="126"/>
      <c r="J672" s="240"/>
      <c r="K672" s="242"/>
    </row>
    <row r="673">
      <c r="A673" s="121"/>
      <c r="B673" s="122"/>
      <c r="C673" s="163"/>
      <c r="D673" s="123"/>
      <c r="E673" s="123"/>
      <c r="F673" s="125"/>
      <c r="G673" s="125"/>
      <c r="H673" s="163"/>
      <c r="I673" s="126"/>
      <c r="J673" s="240"/>
      <c r="K673" s="242"/>
    </row>
    <row r="674">
      <c r="A674" s="121"/>
      <c r="B674" s="122"/>
      <c r="C674" s="163"/>
      <c r="D674" s="123"/>
      <c r="E674" s="123"/>
      <c r="F674" s="125"/>
      <c r="G674" s="125"/>
      <c r="H674" s="163"/>
      <c r="I674" s="126"/>
      <c r="J674" s="240"/>
      <c r="K674" s="242"/>
    </row>
    <row r="675">
      <c r="A675" s="121"/>
      <c r="B675" s="122"/>
      <c r="C675" s="163"/>
      <c r="D675" s="123"/>
      <c r="E675" s="123"/>
      <c r="F675" s="125"/>
      <c r="G675" s="125"/>
      <c r="H675" s="163"/>
      <c r="I675" s="126"/>
      <c r="J675" s="240"/>
      <c r="K675" s="242"/>
    </row>
    <row r="676">
      <c r="A676" s="121"/>
      <c r="B676" s="122"/>
      <c r="C676" s="163"/>
      <c r="D676" s="123"/>
      <c r="E676" s="123"/>
      <c r="F676" s="125"/>
      <c r="G676" s="125"/>
      <c r="H676" s="163"/>
      <c r="I676" s="126"/>
      <c r="J676" s="240"/>
      <c r="K676" s="242"/>
    </row>
    <row r="677">
      <c r="A677" s="121"/>
      <c r="B677" s="122"/>
      <c r="C677" s="163"/>
      <c r="D677" s="123"/>
      <c r="E677" s="123"/>
      <c r="F677" s="125"/>
      <c r="G677" s="125"/>
      <c r="H677" s="163"/>
      <c r="I677" s="126"/>
      <c r="J677" s="240"/>
      <c r="K677" s="242"/>
    </row>
    <row r="678">
      <c r="A678" s="121"/>
      <c r="B678" s="122"/>
      <c r="C678" s="163"/>
      <c r="D678" s="123"/>
      <c r="E678" s="123"/>
      <c r="F678" s="125"/>
      <c r="G678" s="125"/>
      <c r="H678" s="163"/>
      <c r="I678" s="126"/>
      <c r="J678" s="240"/>
      <c r="K678" s="242"/>
    </row>
    <row r="679">
      <c r="A679" s="121"/>
      <c r="B679" s="122"/>
      <c r="C679" s="163"/>
      <c r="D679" s="123"/>
      <c r="E679" s="123"/>
      <c r="F679" s="125"/>
      <c r="G679" s="125"/>
      <c r="H679" s="163"/>
      <c r="I679" s="126"/>
      <c r="J679" s="240"/>
      <c r="K679" s="242"/>
    </row>
    <row r="680">
      <c r="A680" s="121"/>
      <c r="B680" s="122"/>
      <c r="C680" s="163"/>
      <c r="D680" s="123"/>
      <c r="E680" s="123"/>
      <c r="F680" s="125"/>
      <c r="G680" s="125"/>
      <c r="H680" s="163"/>
      <c r="I680" s="126"/>
      <c r="J680" s="240"/>
      <c r="K680" s="242"/>
    </row>
    <row r="681">
      <c r="A681" s="121"/>
      <c r="B681" s="122"/>
      <c r="C681" s="163"/>
      <c r="D681" s="123"/>
      <c r="E681" s="123"/>
      <c r="F681" s="125"/>
      <c r="G681" s="125"/>
      <c r="H681" s="163"/>
      <c r="I681" s="126"/>
      <c r="J681" s="240"/>
      <c r="K681" s="242"/>
    </row>
    <row r="682">
      <c r="A682" s="121"/>
      <c r="B682" s="122"/>
      <c r="C682" s="163"/>
      <c r="D682" s="123"/>
      <c r="E682" s="123"/>
      <c r="F682" s="125"/>
      <c r="G682" s="125"/>
      <c r="H682" s="163"/>
      <c r="I682" s="126"/>
      <c r="J682" s="240"/>
      <c r="K682" s="242"/>
    </row>
    <row r="683">
      <c r="A683" s="121"/>
      <c r="B683" s="122"/>
      <c r="C683" s="163"/>
      <c r="D683" s="123"/>
      <c r="E683" s="123"/>
      <c r="F683" s="125"/>
      <c r="G683" s="125"/>
      <c r="H683" s="163"/>
      <c r="I683" s="126"/>
      <c r="J683" s="240"/>
      <c r="K683" s="242"/>
    </row>
    <row r="684">
      <c r="A684" s="121"/>
      <c r="B684" s="122"/>
      <c r="C684" s="163"/>
      <c r="D684" s="123"/>
      <c r="E684" s="123"/>
      <c r="F684" s="125"/>
      <c r="G684" s="125"/>
      <c r="H684" s="163"/>
      <c r="I684" s="126"/>
      <c r="J684" s="240"/>
      <c r="K684" s="242"/>
    </row>
    <row r="685">
      <c r="A685" s="121"/>
      <c r="B685" s="122"/>
      <c r="C685" s="163"/>
      <c r="D685" s="123"/>
      <c r="E685" s="123"/>
      <c r="F685" s="125"/>
      <c r="G685" s="125"/>
      <c r="H685" s="163"/>
      <c r="I685" s="126"/>
      <c r="J685" s="240"/>
      <c r="K685" s="242"/>
    </row>
    <row r="686">
      <c r="A686" s="121"/>
      <c r="B686" s="122"/>
      <c r="C686" s="163"/>
      <c r="D686" s="123"/>
      <c r="E686" s="123"/>
      <c r="F686" s="125"/>
      <c r="G686" s="125"/>
      <c r="H686" s="163"/>
      <c r="I686" s="126"/>
      <c r="J686" s="240"/>
      <c r="K686" s="242"/>
    </row>
    <row r="687">
      <c r="A687" s="121"/>
      <c r="B687" s="122"/>
      <c r="C687" s="163"/>
      <c r="D687" s="123"/>
      <c r="E687" s="123"/>
      <c r="F687" s="125"/>
      <c r="G687" s="125"/>
      <c r="H687" s="163"/>
      <c r="I687" s="126"/>
      <c r="J687" s="240"/>
      <c r="K687" s="242"/>
    </row>
    <row r="688">
      <c r="A688" s="121"/>
      <c r="B688" s="122"/>
      <c r="C688" s="163"/>
      <c r="D688" s="123"/>
      <c r="E688" s="123"/>
      <c r="F688" s="125"/>
      <c r="G688" s="125"/>
      <c r="H688" s="163"/>
      <c r="I688" s="126"/>
      <c r="J688" s="240"/>
      <c r="K688" s="242"/>
    </row>
    <row r="689">
      <c r="A689" s="121"/>
      <c r="B689" s="122"/>
      <c r="C689" s="163"/>
      <c r="D689" s="123"/>
      <c r="E689" s="123"/>
      <c r="F689" s="125"/>
      <c r="G689" s="125"/>
      <c r="H689" s="163"/>
      <c r="I689" s="126"/>
      <c r="J689" s="240"/>
      <c r="K689" s="242"/>
    </row>
    <row r="690">
      <c r="A690" s="121"/>
      <c r="B690" s="122"/>
      <c r="C690" s="163"/>
      <c r="D690" s="123"/>
      <c r="E690" s="123"/>
      <c r="F690" s="125"/>
      <c r="G690" s="125"/>
      <c r="H690" s="163"/>
      <c r="I690" s="126"/>
      <c r="J690" s="240"/>
      <c r="K690" s="242"/>
    </row>
    <row r="691">
      <c r="A691" s="121"/>
      <c r="B691" s="122"/>
      <c r="C691" s="163"/>
      <c r="D691" s="123"/>
      <c r="E691" s="123"/>
      <c r="F691" s="125"/>
      <c r="G691" s="125"/>
      <c r="H691" s="163"/>
      <c r="I691" s="126"/>
      <c r="J691" s="240"/>
      <c r="K691" s="242"/>
    </row>
    <row r="692">
      <c r="A692" s="121"/>
      <c r="B692" s="122"/>
      <c r="C692" s="163"/>
      <c r="D692" s="123"/>
      <c r="E692" s="123"/>
      <c r="F692" s="125"/>
      <c r="G692" s="125"/>
      <c r="H692" s="163"/>
      <c r="I692" s="126"/>
      <c r="J692" s="240"/>
      <c r="K692" s="242"/>
    </row>
    <row r="693">
      <c r="A693" s="121"/>
      <c r="B693" s="122"/>
      <c r="C693" s="163"/>
      <c r="D693" s="123"/>
      <c r="E693" s="123"/>
      <c r="F693" s="125"/>
      <c r="G693" s="125"/>
      <c r="H693" s="163"/>
      <c r="I693" s="126"/>
      <c r="J693" s="240"/>
      <c r="K693" s="242"/>
    </row>
    <row r="694">
      <c r="A694" s="121"/>
      <c r="B694" s="122"/>
      <c r="C694" s="163"/>
      <c r="D694" s="123"/>
      <c r="E694" s="123"/>
      <c r="F694" s="125"/>
      <c r="G694" s="125"/>
      <c r="H694" s="163"/>
      <c r="I694" s="126"/>
      <c r="J694" s="240"/>
      <c r="K694" s="242"/>
    </row>
    <row r="695">
      <c r="A695" s="121"/>
      <c r="B695" s="122"/>
      <c r="C695" s="163"/>
      <c r="D695" s="123"/>
      <c r="E695" s="123"/>
      <c r="F695" s="125"/>
      <c r="G695" s="125"/>
      <c r="H695" s="163"/>
      <c r="I695" s="126"/>
      <c r="J695" s="240"/>
      <c r="K695" s="242"/>
    </row>
    <row r="696">
      <c r="A696" s="121"/>
      <c r="B696" s="122"/>
      <c r="C696" s="163"/>
      <c r="D696" s="123"/>
      <c r="E696" s="123"/>
      <c r="F696" s="125"/>
      <c r="G696" s="125"/>
      <c r="H696" s="163"/>
      <c r="I696" s="126"/>
      <c r="J696" s="240"/>
      <c r="K696" s="242"/>
    </row>
    <row r="697">
      <c r="A697" s="121"/>
      <c r="B697" s="122"/>
      <c r="C697" s="163"/>
      <c r="D697" s="123"/>
      <c r="E697" s="123"/>
      <c r="F697" s="125"/>
      <c r="G697" s="125"/>
      <c r="H697" s="163"/>
      <c r="I697" s="126"/>
      <c r="J697" s="240"/>
      <c r="K697" s="242"/>
    </row>
    <row r="698">
      <c r="A698" s="121"/>
      <c r="B698" s="122"/>
      <c r="C698" s="163"/>
      <c r="D698" s="123"/>
      <c r="E698" s="123"/>
      <c r="F698" s="125"/>
      <c r="G698" s="125"/>
      <c r="H698" s="163"/>
      <c r="I698" s="126"/>
      <c r="J698" s="240"/>
      <c r="K698" s="242"/>
    </row>
    <row r="699">
      <c r="A699" s="121"/>
      <c r="B699" s="122"/>
      <c r="C699" s="163"/>
      <c r="D699" s="123"/>
      <c r="E699" s="123"/>
      <c r="F699" s="125"/>
      <c r="G699" s="125"/>
      <c r="H699" s="163"/>
      <c r="I699" s="126"/>
      <c r="J699" s="240"/>
      <c r="K699" s="242"/>
    </row>
    <row r="700">
      <c r="A700" s="121"/>
      <c r="B700" s="122"/>
      <c r="C700" s="163"/>
      <c r="D700" s="123"/>
      <c r="E700" s="123"/>
      <c r="F700" s="125"/>
      <c r="G700" s="125"/>
      <c r="H700" s="163"/>
      <c r="I700" s="126"/>
      <c r="J700" s="240"/>
      <c r="K700" s="242"/>
    </row>
    <row r="701">
      <c r="A701" s="121"/>
      <c r="B701" s="122"/>
      <c r="C701" s="163"/>
      <c r="D701" s="123"/>
      <c r="E701" s="123"/>
      <c r="F701" s="125"/>
      <c r="G701" s="125"/>
      <c r="H701" s="163"/>
      <c r="I701" s="126"/>
      <c r="J701" s="240"/>
      <c r="K701" s="242"/>
    </row>
    <row r="702">
      <c r="A702" s="121"/>
      <c r="B702" s="122"/>
      <c r="C702" s="163"/>
      <c r="D702" s="123"/>
      <c r="E702" s="123"/>
      <c r="F702" s="125"/>
      <c r="G702" s="125"/>
      <c r="H702" s="163"/>
      <c r="I702" s="126"/>
      <c r="J702" s="240"/>
      <c r="K702" s="242"/>
    </row>
    <row r="703">
      <c r="A703" s="121"/>
      <c r="B703" s="122"/>
      <c r="C703" s="163"/>
      <c r="D703" s="123"/>
      <c r="E703" s="123"/>
      <c r="F703" s="125"/>
      <c r="G703" s="125"/>
      <c r="H703" s="163"/>
      <c r="I703" s="126"/>
      <c r="J703" s="240"/>
      <c r="K703" s="242"/>
    </row>
    <row r="704">
      <c r="A704" s="121"/>
      <c r="B704" s="122"/>
      <c r="C704" s="163"/>
      <c r="D704" s="123"/>
      <c r="E704" s="123"/>
      <c r="F704" s="125"/>
      <c r="G704" s="125"/>
      <c r="H704" s="163"/>
      <c r="I704" s="126"/>
      <c r="J704" s="240"/>
      <c r="K704" s="242"/>
    </row>
    <row r="705">
      <c r="A705" s="121"/>
      <c r="B705" s="122"/>
      <c r="C705" s="163"/>
      <c r="D705" s="123"/>
      <c r="E705" s="123"/>
      <c r="F705" s="125"/>
      <c r="G705" s="125"/>
      <c r="H705" s="163"/>
      <c r="I705" s="126"/>
      <c r="J705" s="240"/>
      <c r="K705" s="242"/>
    </row>
    <row r="706">
      <c r="A706" s="121"/>
      <c r="B706" s="122"/>
      <c r="C706" s="163"/>
      <c r="D706" s="123"/>
      <c r="E706" s="123"/>
      <c r="F706" s="125"/>
      <c r="G706" s="125"/>
      <c r="H706" s="163"/>
      <c r="I706" s="126"/>
      <c r="J706" s="240"/>
      <c r="K706" s="242"/>
    </row>
    <row r="707">
      <c r="A707" s="121"/>
      <c r="B707" s="122"/>
      <c r="C707" s="163"/>
      <c r="D707" s="123"/>
      <c r="E707" s="123"/>
      <c r="F707" s="125"/>
      <c r="G707" s="125"/>
      <c r="H707" s="163"/>
      <c r="I707" s="126"/>
      <c r="J707" s="240"/>
      <c r="K707" s="242"/>
    </row>
    <row r="708">
      <c r="A708" s="121"/>
      <c r="B708" s="122"/>
      <c r="C708" s="163"/>
      <c r="D708" s="123"/>
      <c r="E708" s="123"/>
      <c r="F708" s="125"/>
      <c r="G708" s="125"/>
      <c r="H708" s="163"/>
      <c r="I708" s="126"/>
      <c r="J708" s="240"/>
      <c r="K708" s="242"/>
    </row>
    <row r="709">
      <c r="A709" s="121"/>
      <c r="B709" s="122"/>
      <c r="C709" s="163"/>
      <c r="D709" s="123"/>
      <c r="E709" s="123"/>
      <c r="F709" s="125"/>
      <c r="G709" s="125"/>
      <c r="H709" s="163"/>
      <c r="I709" s="126"/>
      <c r="J709" s="240"/>
      <c r="K709" s="242"/>
    </row>
    <row r="710">
      <c r="A710" s="121"/>
      <c r="B710" s="122"/>
      <c r="C710" s="163"/>
      <c r="D710" s="123"/>
      <c r="E710" s="123"/>
      <c r="F710" s="125"/>
      <c r="G710" s="125"/>
      <c r="H710" s="163"/>
      <c r="I710" s="126"/>
      <c r="J710" s="240"/>
      <c r="K710" s="242"/>
    </row>
    <row r="711">
      <c r="A711" s="121"/>
      <c r="B711" s="122"/>
      <c r="C711" s="163"/>
      <c r="D711" s="123"/>
      <c r="E711" s="123"/>
      <c r="F711" s="125"/>
      <c r="G711" s="125"/>
      <c r="H711" s="163"/>
      <c r="I711" s="126"/>
      <c r="J711" s="240"/>
      <c r="K711" s="242"/>
    </row>
    <row r="712">
      <c r="A712" s="121"/>
      <c r="B712" s="122"/>
      <c r="C712" s="163"/>
      <c r="D712" s="123"/>
      <c r="E712" s="123"/>
      <c r="F712" s="125"/>
      <c r="G712" s="125"/>
      <c r="H712" s="163"/>
      <c r="I712" s="126"/>
      <c r="J712" s="240"/>
      <c r="K712" s="242"/>
    </row>
    <row r="713">
      <c r="A713" s="121"/>
      <c r="B713" s="122"/>
      <c r="C713" s="163"/>
      <c r="D713" s="123"/>
      <c r="E713" s="123"/>
      <c r="F713" s="125"/>
      <c r="G713" s="125"/>
      <c r="H713" s="163"/>
      <c r="I713" s="126"/>
      <c r="J713" s="240"/>
      <c r="K713" s="242"/>
    </row>
    <row r="714">
      <c r="A714" s="121"/>
      <c r="B714" s="122"/>
      <c r="C714" s="163"/>
      <c r="D714" s="123"/>
      <c r="E714" s="123"/>
      <c r="F714" s="125"/>
      <c r="G714" s="125"/>
      <c r="H714" s="163"/>
      <c r="I714" s="126"/>
      <c r="J714" s="240"/>
      <c r="K714" s="242"/>
    </row>
    <row r="715">
      <c r="A715" s="121"/>
      <c r="B715" s="122"/>
      <c r="C715" s="163"/>
      <c r="D715" s="123"/>
      <c r="E715" s="123"/>
      <c r="F715" s="125"/>
      <c r="G715" s="125"/>
      <c r="H715" s="163"/>
      <c r="I715" s="126"/>
      <c r="J715" s="240"/>
      <c r="K715" s="242"/>
    </row>
    <row r="716">
      <c r="A716" s="121"/>
      <c r="B716" s="122"/>
      <c r="C716" s="163"/>
      <c r="D716" s="123"/>
      <c r="E716" s="123"/>
      <c r="F716" s="125"/>
      <c r="G716" s="125"/>
      <c r="H716" s="163"/>
      <c r="I716" s="126"/>
      <c r="J716" s="240"/>
      <c r="K716" s="242"/>
    </row>
    <row r="717">
      <c r="A717" s="121"/>
      <c r="B717" s="122"/>
      <c r="C717" s="163"/>
      <c r="D717" s="123"/>
      <c r="E717" s="123"/>
      <c r="F717" s="125"/>
      <c r="G717" s="125"/>
      <c r="H717" s="163"/>
      <c r="I717" s="126"/>
      <c r="J717" s="240"/>
      <c r="K717" s="242"/>
    </row>
    <row r="718">
      <c r="A718" s="121"/>
      <c r="B718" s="122"/>
      <c r="C718" s="163"/>
      <c r="D718" s="123"/>
      <c r="E718" s="123"/>
      <c r="F718" s="125"/>
      <c r="G718" s="125"/>
      <c r="H718" s="163"/>
      <c r="I718" s="126"/>
      <c r="J718" s="240"/>
      <c r="K718" s="242"/>
    </row>
    <row r="719">
      <c r="A719" s="121"/>
      <c r="B719" s="122"/>
      <c r="C719" s="163"/>
      <c r="D719" s="123"/>
      <c r="E719" s="123"/>
      <c r="F719" s="125"/>
      <c r="G719" s="125"/>
      <c r="H719" s="163"/>
      <c r="I719" s="126"/>
      <c r="J719" s="240"/>
      <c r="K719" s="242"/>
    </row>
    <row r="720">
      <c r="A720" s="121"/>
      <c r="B720" s="122"/>
      <c r="C720" s="163"/>
      <c r="D720" s="123"/>
      <c r="E720" s="123"/>
      <c r="F720" s="125"/>
      <c r="G720" s="125"/>
      <c r="H720" s="163"/>
      <c r="I720" s="126"/>
      <c r="J720" s="240"/>
      <c r="K720" s="242"/>
    </row>
    <row r="721">
      <c r="A721" s="121"/>
      <c r="B721" s="122"/>
      <c r="C721" s="163"/>
      <c r="D721" s="123"/>
      <c r="E721" s="123"/>
      <c r="F721" s="125"/>
      <c r="G721" s="125"/>
      <c r="H721" s="163"/>
      <c r="I721" s="126"/>
      <c r="J721" s="240"/>
      <c r="K721" s="242"/>
    </row>
    <row r="722">
      <c r="A722" s="121"/>
      <c r="B722" s="122"/>
      <c r="C722" s="163"/>
      <c r="D722" s="123"/>
      <c r="E722" s="123"/>
      <c r="F722" s="125"/>
      <c r="G722" s="125"/>
      <c r="H722" s="163"/>
      <c r="I722" s="126"/>
      <c r="J722" s="240"/>
      <c r="K722" s="242"/>
    </row>
    <row r="723">
      <c r="A723" s="121"/>
      <c r="B723" s="122"/>
      <c r="C723" s="163"/>
      <c r="D723" s="123"/>
      <c r="E723" s="123"/>
      <c r="F723" s="125"/>
      <c r="G723" s="125"/>
      <c r="H723" s="163"/>
      <c r="I723" s="126"/>
      <c r="J723" s="240"/>
      <c r="K723" s="242"/>
    </row>
    <row r="724">
      <c r="A724" s="121"/>
      <c r="B724" s="122"/>
      <c r="C724" s="163"/>
      <c r="D724" s="123"/>
      <c r="E724" s="123"/>
      <c r="F724" s="125"/>
      <c r="G724" s="125"/>
      <c r="H724" s="163"/>
      <c r="I724" s="126"/>
      <c r="J724" s="240"/>
      <c r="K724" s="242"/>
    </row>
    <row r="725">
      <c r="A725" s="121"/>
      <c r="B725" s="122"/>
      <c r="C725" s="163"/>
      <c r="D725" s="123"/>
      <c r="E725" s="123"/>
      <c r="F725" s="125"/>
      <c r="G725" s="125"/>
      <c r="H725" s="163"/>
      <c r="I725" s="126"/>
      <c r="J725" s="240"/>
      <c r="K725" s="242"/>
    </row>
    <row r="726">
      <c r="A726" s="121"/>
      <c r="B726" s="122"/>
      <c r="C726" s="163"/>
      <c r="D726" s="123"/>
      <c r="E726" s="123"/>
      <c r="F726" s="125"/>
      <c r="G726" s="125"/>
      <c r="H726" s="163"/>
      <c r="I726" s="126"/>
      <c r="J726" s="240"/>
      <c r="K726" s="242"/>
    </row>
    <row r="727">
      <c r="A727" s="121"/>
      <c r="B727" s="122"/>
      <c r="C727" s="163"/>
      <c r="D727" s="123"/>
      <c r="E727" s="123"/>
      <c r="F727" s="125"/>
      <c r="G727" s="125"/>
      <c r="H727" s="163"/>
      <c r="I727" s="126"/>
      <c r="J727" s="240"/>
      <c r="K727" s="242"/>
    </row>
    <row r="728">
      <c r="A728" s="121"/>
      <c r="B728" s="122"/>
      <c r="C728" s="163"/>
      <c r="D728" s="123"/>
      <c r="E728" s="123"/>
      <c r="F728" s="125"/>
      <c r="G728" s="125"/>
      <c r="H728" s="163"/>
      <c r="I728" s="126"/>
      <c r="J728" s="240"/>
      <c r="K728" s="242"/>
    </row>
    <row r="729">
      <c r="A729" s="121"/>
      <c r="B729" s="122"/>
      <c r="C729" s="163"/>
      <c r="D729" s="123"/>
      <c r="E729" s="123"/>
      <c r="F729" s="125"/>
      <c r="G729" s="125"/>
      <c r="H729" s="163"/>
      <c r="I729" s="126"/>
      <c r="J729" s="240"/>
      <c r="K729" s="242"/>
    </row>
    <row r="730">
      <c r="A730" s="121"/>
      <c r="B730" s="122"/>
      <c r="C730" s="163"/>
      <c r="D730" s="123"/>
      <c r="E730" s="123"/>
      <c r="F730" s="125"/>
      <c r="G730" s="125"/>
      <c r="H730" s="163"/>
      <c r="I730" s="126"/>
      <c r="J730" s="240"/>
      <c r="K730" s="242"/>
    </row>
    <row r="731">
      <c r="A731" s="121"/>
      <c r="B731" s="122"/>
      <c r="C731" s="163"/>
      <c r="D731" s="123"/>
      <c r="E731" s="123"/>
      <c r="F731" s="125"/>
      <c r="G731" s="125"/>
      <c r="H731" s="163"/>
      <c r="I731" s="126"/>
      <c r="J731" s="240"/>
      <c r="K731" s="242"/>
    </row>
    <row r="732">
      <c r="A732" s="121"/>
      <c r="B732" s="122"/>
      <c r="C732" s="163"/>
      <c r="D732" s="123"/>
      <c r="E732" s="123"/>
      <c r="F732" s="125"/>
      <c r="G732" s="125"/>
      <c r="H732" s="163"/>
      <c r="I732" s="126"/>
      <c r="J732" s="240"/>
      <c r="K732" s="242"/>
    </row>
    <row r="733">
      <c r="A733" s="121"/>
      <c r="B733" s="122"/>
      <c r="C733" s="163"/>
      <c r="D733" s="123"/>
      <c r="E733" s="123"/>
      <c r="F733" s="125"/>
      <c r="G733" s="125"/>
      <c r="H733" s="163"/>
      <c r="I733" s="126"/>
      <c r="J733" s="240"/>
      <c r="K733" s="242"/>
    </row>
    <row r="734">
      <c r="A734" s="121"/>
      <c r="B734" s="122"/>
      <c r="C734" s="163"/>
      <c r="D734" s="123"/>
      <c r="E734" s="123"/>
      <c r="F734" s="125"/>
      <c r="G734" s="125"/>
      <c r="H734" s="163"/>
      <c r="I734" s="126"/>
      <c r="J734" s="240"/>
      <c r="K734" s="242"/>
    </row>
    <row r="735">
      <c r="A735" s="121"/>
      <c r="B735" s="122"/>
      <c r="C735" s="163"/>
      <c r="D735" s="123"/>
      <c r="E735" s="123"/>
      <c r="F735" s="125"/>
      <c r="G735" s="125"/>
      <c r="H735" s="163"/>
      <c r="I735" s="126"/>
      <c r="J735" s="240"/>
      <c r="K735" s="242"/>
    </row>
    <row r="736">
      <c r="A736" s="121"/>
      <c r="B736" s="122"/>
      <c r="C736" s="163"/>
      <c r="D736" s="123"/>
      <c r="E736" s="123"/>
      <c r="F736" s="125"/>
      <c r="G736" s="125"/>
      <c r="H736" s="163"/>
      <c r="I736" s="126"/>
      <c r="J736" s="240"/>
      <c r="K736" s="242"/>
    </row>
    <row r="737">
      <c r="A737" s="121"/>
      <c r="B737" s="122"/>
      <c r="C737" s="163"/>
      <c r="D737" s="123"/>
      <c r="E737" s="123"/>
      <c r="F737" s="125"/>
      <c r="G737" s="125"/>
      <c r="H737" s="163"/>
      <c r="I737" s="126"/>
      <c r="J737" s="240"/>
      <c r="K737" s="242"/>
    </row>
    <row r="738">
      <c r="A738" s="121"/>
      <c r="B738" s="122"/>
      <c r="C738" s="163"/>
      <c r="D738" s="123"/>
      <c r="E738" s="123"/>
      <c r="F738" s="125"/>
      <c r="G738" s="125"/>
      <c r="H738" s="163"/>
      <c r="I738" s="126"/>
      <c r="J738" s="240"/>
      <c r="K738" s="242"/>
    </row>
    <row r="739">
      <c r="A739" s="121"/>
      <c r="B739" s="122"/>
      <c r="C739" s="163"/>
      <c r="D739" s="123"/>
      <c r="E739" s="123"/>
      <c r="F739" s="125"/>
      <c r="G739" s="125"/>
      <c r="H739" s="163"/>
      <c r="I739" s="126"/>
      <c r="J739" s="240"/>
      <c r="K739" s="242"/>
    </row>
    <row r="740">
      <c r="A740" s="121"/>
      <c r="B740" s="122"/>
      <c r="C740" s="163"/>
      <c r="D740" s="123"/>
      <c r="E740" s="123"/>
      <c r="F740" s="125"/>
      <c r="G740" s="125"/>
      <c r="H740" s="163"/>
      <c r="I740" s="126"/>
      <c r="J740" s="240"/>
      <c r="K740" s="242"/>
    </row>
    <row r="741">
      <c r="A741" s="121"/>
      <c r="B741" s="122"/>
      <c r="C741" s="163"/>
      <c r="D741" s="123"/>
      <c r="E741" s="123"/>
      <c r="F741" s="125"/>
      <c r="G741" s="125"/>
      <c r="H741" s="163"/>
      <c r="I741" s="126"/>
      <c r="J741" s="240"/>
      <c r="K741" s="242"/>
    </row>
    <row r="742">
      <c r="A742" s="121"/>
      <c r="B742" s="122"/>
      <c r="C742" s="163"/>
      <c r="D742" s="123"/>
      <c r="E742" s="123"/>
      <c r="F742" s="125"/>
      <c r="G742" s="125"/>
      <c r="H742" s="163"/>
      <c r="I742" s="126"/>
      <c r="J742" s="240"/>
      <c r="K742" s="242"/>
    </row>
    <row r="743">
      <c r="A743" s="121"/>
      <c r="B743" s="122"/>
      <c r="C743" s="163"/>
      <c r="D743" s="123"/>
      <c r="E743" s="123"/>
      <c r="F743" s="125"/>
      <c r="G743" s="125"/>
      <c r="H743" s="163"/>
      <c r="I743" s="126"/>
      <c r="J743" s="240"/>
      <c r="K743" s="242"/>
    </row>
    <row r="744">
      <c r="A744" s="121"/>
      <c r="B744" s="122"/>
      <c r="C744" s="163"/>
      <c r="D744" s="123"/>
      <c r="E744" s="123"/>
      <c r="F744" s="125"/>
      <c r="G744" s="125"/>
      <c r="H744" s="163"/>
      <c r="I744" s="126"/>
      <c r="J744" s="240"/>
      <c r="K744" s="242"/>
    </row>
    <row r="745">
      <c r="A745" s="121"/>
      <c r="B745" s="122"/>
      <c r="C745" s="163"/>
      <c r="D745" s="123"/>
      <c r="E745" s="123"/>
      <c r="F745" s="125"/>
      <c r="G745" s="125"/>
      <c r="H745" s="163"/>
      <c r="I745" s="126"/>
      <c r="J745" s="240"/>
      <c r="K745" s="242"/>
    </row>
    <row r="746">
      <c r="A746" s="121"/>
      <c r="B746" s="122"/>
      <c r="C746" s="163"/>
      <c r="D746" s="123"/>
      <c r="E746" s="123"/>
      <c r="F746" s="125"/>
      <c r="G746" s="125"/>
      <c r="H746" s="163"/>
      <c r="I746" s="126"/>
      <c r="J746" s="240"/>
      <c r="K746" s="242"/>
    </row>
    <row r="747">
      <c r="A747" s="121"/>
      <c r="B747" s="122"/>
      <c r="C747" s="163"/>
      <c r="D747" s="123"/>
      <c r="E747" s="123"/>
      <c r="F747" s="125"/>
      <c r="G747" s="125"/>
      <c r="H747" s="163"/>
      <c r="I747" s="126"/>
      <c r="J747" s="240"/>
      <c r="K747" s="242"/>
    </row>
    <row r="748">
      <c r="A748" s="121"/>
      <c r="B748" s="122"/>
      <c r="C748" s="163"/>
      <c r="D748" s="123"/>
      <c r="E748" s="123"/>
      <c r="F748" s="125"/>
      <c r="G748" s="125"/>
      <c r="H748" s="163"/>
      <c r="I748" s="126"/>
      <c r="J748" s="240"/>
      <c r="K748" s="242"/>
    </row>
    <row r="749">
      <c r="A749" s="121"/>
      <c r="B749" s="122"/>
      <c r="C749" s="163"/>
      <c r="D749" s="123"/>
      <c r="E749" s="123"/>
      <c r="F749" s="125"/>
      <c r="G749" s="125"/>
      <c r="H749" s="163"/>
      <c r="I749" s="126"/>
      <c r="J749" s="240"/>
      <c r="K749" s="242"/>
    </row>
    <row r="750">
      <c r="A750" s="121"/>
      <c r="B750" s="122"/>
      <c r="C750" s="163"/>
      <c r="D750" s="123"/>
      <c r="E750" s="123"/>
      <c r="F750" s="125"/>
      <c r="G750" s="125"/>
      <c r="H750" s="163"/>
      <c r="I750" s="126"/>
      <c r="J750" s="240"/>
      <c r="K750" s="242"/>
    </row>
    <row r="751">
      <c r="A751" s="121"/>
      <c r="B751" s="122"/>
      <c r="C751" s="163"/>
      <c r="D751" s="123"/>
      <c r="E751" s="123"/>
      <c r="F751" s="125"/>
      <c r="G751" s="125"/>
      <c r="H751" s="163"/>
      <c r="I751" s="126"/>
      <c r="J751" s="240"/>
      <c r="K751" s="242"/>
    </row>
    <row r="752">
      <c r="A752" s="121"/>
      <c r="B752" s="122"/>
      <c r="C752" s="163"/>
      <c r="D752" s="123"/>
      <c r="E752" s="123"/>
      <c r="F752" s="125"/>
      <c r="G752" s="125"/>
      <c r="H752" s="163"/>
      <c r="I752" s="126"/>
      <c r="J752" s="240"/>
      <c r="K752" s="242"/>
    </row>
    <row r="753">
      <c r="A753" s="121"/>
      <c r="B753" s="122"/>
      <c r="C753" s="163"/>
      <c r="D753" s="123"/>
      <c r="E753" s="123"/>
      <c r="F753" s="125"/>
      <c r="G753" s="125"/>
      <c r="H753" s="163"/>
      <c r="I753" s="126"/>
      <c r="J753" s="240"/>
      <c r="K753" s="242"/>
    </row>
    <row r="754">
      <c r="A754" s="121"/>
      <c r="B754" s="122"/>
      <c r="C754" s="163"/>
      <c r="D754" s="123"/>
      <c r="E754" s="123"/>
      <c r="F754" s="125"/>
      <c r="G754" s="125"/>
      <c r="H754" s="163"/>
      <c r="I754" s="126"/>
      <c r="J754" s="240"/>
      <c r="K754" s="242"/>
    </row>
    <row r="755">
      <c r="A755" s="121"/>
      <c r="B755" s="122"/>
      <c r="C755" s="163"/>
      <c r="D755" s="123"/>
      <c r="E755" s="123"/>
      <c r="F755" s="125"/>
      <c r="G755" s="125"/>
      <c r="H755" s="163"/>
      <c r="I755" s="126"/>
      <c r="J755" s="240"/>
      <c r="K755" s="242"/>
    </row>
    <row r="756">
      <c r="A756" s="121"/>
      <c r="B756" s="122"/>
      <c r="C756" s="163"/>
      <c r="D756" s="123"/>
      <c r="E756" s="123"/>
      <c r="F756" s="125"/>
      <c r="G756" s="125"/>
      <c r="H756" s="163"/>
      <c r="I756" s="126"/>
      <c r="J756" s="240"/>
      <c r="K756" s="242"/>
    </row>
    <row r="757">
      <c r="A757" s="121"/>
      <c r="B757" s="122"/>
      <c r="C757" s="163"/>
      <c r="D757" s="123"/>
      <c r="E757" s="123"/>
      <c r="F757" s="125"/>
      <c r="G757" s="125"/>
      <c r="H757" s="163"/>
      <c r="I757" s="126"/>
      <c r="J757" s="240"/>
      <c r="K757" s="242"/>
    </row>
    <row r="758">
      <c r="A758" s="121"/>
      <c r="B758" s="122"/>
      <c r="C758" s="163"/>
      <c r="D758" s="123"/>
      <c r="E758" s="123"/>
      <c r="F758" s="125"/>
      <c r="G758" s="125"/>
      <c r="H758" s="163"/>
      <c r="I758" s="126"/>
      <c r="J758" s="240"/>
      <c r="K758" s="242"/>
    </row>
    <row r="759">
      <c r="A759" s="121"/>
      <c r="B759" s="122"/>
      <c r="C759" s="163"/>
      <c r="D759" s="123"/>
      <c r="E759" s="123"/>
      <c r="F759" s="125"/>
      <c r="G759" s="125"/>
      <c r="H759" s="163"/>
      <c r="I759" s="126"/>
      <c r="J759" s="240"/>
      <c r="K759" s="242"/>
    </row>
    <row r="760">
      <c r="A760" s="121"/>
      <c r="B760" s="122"/>
      <c r="C760" s="163"/>
      <c r="D760" s="123"/>
      <c r="E760" s="123"/>
      <c r="F760" s="125"/>
      <c r="G760" s="125"/>
      <c r="H760" s="163"/>
      <c r="I760" s="126"/>
      <c r="J760" s="240"/>
      <c r="K760" s="242"/>
    </row>
    <row r="761">
      <c r="A761" s="121"/>
      <c r="B761" s="122"/>
      <c r="C761" s="163"/>
      <c r="D761" s="123"/>
      <c r="E761" s="123"/>
      <c r="F761" s="125"/>
      <c r="G761" s="125"/>
      <c r="H761" s="163"/>
      <c r="I761" s="126"/>
      <c r="J761" s="240"/>
      <c r="K761" s="242"/>
    </row>
    <row r="762">
      <c r="A762" s="121"/>
      <c r="B762" s="122"/>
      <c r="C762" s="163"/>
      <c r="D762" s="123"/>
      <c r="E762" s="123"/>
      <c r="F762" s="125"/>
      <c r="G762" s="125"/>
      <c r="H762" s="163"/>
      <c r="I762" s="126"/>
      <c r="J762" s="240"/>
      <c r="K762" s="242"/>
    </row>
    <row r="763">
      <c r="A763" s="121"/>
      <c r="B763" s="122"/>
      <c r="C763" s="163"/>
      <c r="D763" s="123"/>
      <c r="E763" s="123"/>
      <c r="F763" s="125"/>
      <c r="G763" s="125"/>
      <c r="H763" s="163"/>
      <c r="I763" s="126"/>
      <c r="J763" s="240"/>
      <c r="K763" s="242"/>
    </row>
    <row r="764">
      <c r="A764" s="121"/>
      <c r="B764" s="122"/>
      <c r="C764" s="163"/>
      <c r="D764" s="123"/>
      <c r="E764" s="123"/>
      <c r="F764" s="125"/>
      <c r="G764" s="125"/>
      <c r="H764" s="163"/>
      <c r="I764" s="126"/>
      <c r="J764" s="240"/>
      <c r="K764" s="242"/>
    </row>
    <row r="765">
      <c r="A765" s="121"/>
      <c r="B765" s="122"/>
      <c r="C765" s="163"/>
      <c r="D765" s="123"/>
      <c r="E765" s="123"/>
      <c r="F765" s="125"/>
      <c r="G765" s="125"/>
      <c r="H765" s="163"/>
      <c r="I765" s="126"/>
      <c r="J765" s="240"/>
      <c r="K765" s="242"/>
    </row>
    <row r="766">
      <c r="A766" s="121"/>
      <c r="B766" s="122"/>
      <c r="C766" s="163"/>
      <c r="D766" s="123"/>
      <c r="E766" s="123"/>
      <c r="F766" s="125"/>
      <c r="G766" s="125"/>
      <c r="H766" s="163"/>
      <c r="I766" s="126"/>
      <c r="J766" s="240"/>
      <c r="K766" s="242"/>
    </row>
    <row r="767">
      <c r="A767" s="121"/>
      <c r="B767" s="122"/>
      <c r="C767" s="163"/>
      <c r="D767" s="123"/>
      <c r="E767" s="123"/>
      <c r="F767" s="125"/>
      <c r="G767" s="125"/>
      <c r="H767" s="163"/>
      <c r="I767" s="126"/>
      <c r="J767" s="240"/>
      <c r="K767" s="242"/>
    </row>
    <row r="768">
      <c r="A768" s="121"/>
      <c r="B768" s="122"/>
      <c r="C768" s="163"/>
      <c r="D768" s="123"/>
      <c r="E768" s="123"/>
      <c r="F768" s="125"/>
      <c r="G768" s="125"/>
      <c r="H768" s="163"/>
      <c r="I768" s="126"/>
      <c r="J768" s="240"/>
      <c r="K768" s="242"/>
    </row>
    <row r="769">
      <c r="A769" s="121"/>
      <c r="B769" s="122"/>
      <c r="C769" s="163"/>
      <c r="D769" s="123"/>
      <c r="E769" s="123"/>
      <c r="F769" s="125"/>
      <c r="G769" s="125"/>
      <c r="H769" s="163"/>
      <c r="I769" s="126"/>
      <c r="J769" s="240"/>
      <c r="K769" s="242"/>
    </row>
    <row r="770">
      <c r="A770" s="121"/>
      <c r="B770" s="122"/>
      <c r="C770" s="163"/>
      <c r="D770" s="123"/>
      <c r="E770" s="123"/>
      <c r="F770" s="125"/>
      <c r="G770" s="125"/>
      <c r="H770" s="163"/>
      <c r="I770" s="126"/>
      <c r="J770" s="240"/>
      <c r="K770" s="242"/>
    </row>
    <row r="771">
      <c r="A771" s="121"/>
      <c r="B771" s="122"/>
      <c r="C771" s="163"/>
      <c r="D771" s="123"/>
      <c r="E771" s="123"/>
      <c r="F771" s="125"/>
      <c r="G771" s="125"/>
      <c r="H771" s="163"/>
      <c r="I771" s="126"/>
      <c r="J771" s="240"/>
      <c r="K771" s="242"/>
    </row>
    <row r="772">
      <c r="A772" s="121"/>
      <c r="B772" s="122"/>
      <c r="C772" s="163"/>
      <c r="D772" s="123"/>
      <c r="E772" s="123"/>
      <c r="F772" s="125"/>
      <c r="G772" s="125"/>
      <c r="H772" s="163"/>
      <c r="I772" s="126"/>
      <c r="J772" s="240"/>
      <c r="K772" s="242"/>
    </row>
    <row r="773">
      <c r="A773" s="121"/>
      <c r="B773" s="122"/>
      <c r="C773" s="163"/>
      <c r="D773" s="123"/>
      <c r="E773" s="123"/>
      <c r="F773" s="125"/>
      <c r="G773" s="125"/>
      <c r="H773" s="163"/>
      <c r="I773" s="126"/>
      <c r="J773" s="240"/>
      <c r="K773" s="242"/>
    </row>
    <row r="774">
      <c r="A774" s="121"/>
      <c r="B774" s="122"/>
      <c r="C774" s="163"/>
      <c r="D774" s="123"/>
      <c r="E774" s="123"/>
      <c r="F774" s="125"/>
      <c r="G774" s="125"/>
      <c r="H774" s="163"/>
      <c r="I774" s="126"/>
      <c r="J774" s="240"/>
      <c r="K774" s="242"/>
    </row>
    <row r="775">
      <c r="A775" s="121"/>
      <c r="B775" s="122"/>
      <c r="C775" s="163"/>
      <c r="D775" s="123"/>
      <c r="E775" s="123"/>
      <c r="F775" s="125"/>
      <c r="G775" s="125"/>
      <c r="H775" s="163"/>
      <c r="I775" s="126"/>
      <c r="J775" s="240"/>
      <c r="K775" s="242"/>
    </row>
    <row r="776">
      <c r="A776" s="121"/>
      <c r="B776" s="122"/>
      <c r="C776" s="163"/>
      <c r="D776" s="123"/>
      <c r="E776" s="123"/>
      <c r="F776" s="125"/>
      <c r="G776" s="125"/>
      <c r="H776" s="163"/>
      <c r="I776" s="126"/>
      <c r="J776" s="240"/>
      <c r="K776" s="242"/>
    </row>
    <row r="777">
      <c r="A777" s="121"/>
      <c r="B777" s="122"/>
      <c r="C777" s="163"/>
      <c r="D777" s="123"/>
      <c r="E777" s="123"/>
      <c r="F777" s="125"/>
      <c r="G777" s="125"/>
      <c r="H777" s="163"/>
      <c r="I777" s="126"/>
      <c r="J777" s="240"/>
      <c r="K777" s="242"/>
    </row>
    <row r="778">
      <c r="A778" s="121"/>
      <c r="B778" s="122"/>
      <c r="C778" s="163"/>
      <c r="D778" s="123"/>
      <c r="E778" s="123"/>
      <c r="F778" s="125"/>
      <c r="G778" s="125"/>
      <c r="H778" s="163"/>
      <c r="I778" s="126"/>
      <c r="J778" s="240"/>
      <c r="K778" s="242"/>
    </row>
    <row r="779">
      <c r="A779" s="121"/>
      <c r="B779" s="122"/>
      <c r="C779" s="163"/>
      <c r="D779" s="123"/>
      <c r="E779" s="123"/>
      <c r="F779" s="125"/>
      <c r="G779" s="125"/>
      <c r="H779" s="163"/>
      <c r="I779" s="126"/>
      <c r="J779" s="240"/>
      <c r="K779" s="242"/>
    </row>
    <row r="780">
      <c r="A780" s="121"/>
      <c r="B780" s="122"/>
      <c r="C780" s="163"/>
      <c r="D780" s="123"/>
      <c r="E780" s="123"/>
      <c r="F780" s="125"/>
      <c r="G780" s="125"/>
      <c r="H780" s="163"/>
      <c r="I780" s="126"/>
      <c r="J780" s="240"/>
      <c r="K780" s="242"/>
    </row>
    <row r="781">
      <c r="A781" s="121"/>
      <c r="B781" s="122"/>
      <c r="C781" s="163"/>
      <c r="D781" s="123"/>
      <c r="E781" s="123"/>
      <c r="F781" s="125"/>
      <c r="G781" s="125"/>
      <c r="H781" s="163"/>
      <c r="I781" s="126"/>
      <c r="J781" s="240"/>
      <c r="K781" s="242"/>
    </row>
    <row r="782">
      <c r="A782" s="121"/>
      <c r="B782" s="122"/>
      <c r="C782" s="163"/>
      <c r="D782" s="123"/>
      <c r="E782" s="123"/>
      <c r="F782" s="125"/>
      <c r="G782" s="125"/>
      <c r="H782" s="163"/>
      <c r="I782" s="126"/>
      <c r="J782" s="240"/>
      <c r="K782" s="242"/>
    </row>
    <row r="783">
      <c r="A783" s="121"/>
      <c r="B783" s="122"/>
      <c r="C783" s="163"/>
      <c r="D783" s="123"/>
      <c r="E783" s="123"/>
      <c r="F783" s="125"/>
      <c r="G783" s="125"/>
      <c r="H783" s="163"/>
      <c r="I783" s="126"/>
      <c r="J783" s="240"/>
      <c r="K783" s="242"/>
    </row>
    <row r="784">
      <c r="A784" s="121"/>
      <c r="B784" s="122"/>
      <c r="C784" s="163"/>
      <c r="D784" s="123"/>
      <c r="E784" s="123"/>
      <c r="F784" s="125"/>
      <c r="G784" s="125"/>
      <c r="H784" s="163"/>
      <c r="I784" s="126"/>
      <c r="J784" s="240"/>
      <c r="K784" s="242"/>
    </row>
    <row r="785">
      <c r="A785" s="121"/>
      <c r="B785" s="122"/>
      <c r="C785" s="163"/>
      <c r="D785" s="123"/>
      <c r="E785" s="123"/>
      <c r="F785" s="125"/>
      <c r="G785" s="125"/>
      <c r="H785" s="163"/>
      <c r="I785" s="126"/>
      <c r="J785" s="240"/>
      <c r="K785" s="242"/>
    </row>
    <row r="786">
      <c r="A786" s="121"/>
      <c r="B786" s="122"/>
      <c r="C786" s="163"/>
      <c r="D786" s="123"/>
      <c r="E786" s="123"/>
      <c r="F786" s="125"/>
      <c r="G786" s="125"/>
      <c r="H786" s="163"/>
      <c r="I786" s="126"/>
      <c r="J786" s="240"/>
      <c r="K786" s="242"/>
    </row>
    <row r="787">
      <c r="A787" s="121"/>
      <c r="B787" s="122"/>
      <c r="C787" s="163"/>
      <c r="D787" s="123"/>
      <c r="E787" s="123"/>
      <c r="F787" s="125"/>
      <c r="G787" s="125"/>
      <c r="H787" s="163"/>
      <c r="I787" s="126"/>
      <c r="J787" s="240"/>
      <c r="K787" s="242"/>
    </row>
    <row r="788">
      <c r="A788" s="121"/>
      <c r="B788" s="122"/>
      <c r="C788" s="163"/>
      <c r="D788" s="123"/>
      <c r="E788" s="123"/>
      <c r="F788" s="125"/>
      <c r="G788" s="125"/>
      <c r="H788" s="163"/>
      <c r="I788" s="126"/>
      <c r="J788" s="240"/>
      <c r="K788" s="242"/>
    </row>
    <row r="789">
      <c r="A789" s="121"/>
      <c r="B789" s="122"/>
      <c r="C789" s="163"/>
      <c r="D789" s="123"/>
      <c r="E789" s="123"/>
      <c r="F789" s="125"/>
      <c r="G789" s="125"/>
      <c r="H789" s="163"/>
      <c r="I789" s="126"/>
      <c r="J789" s="240"/>
      <c r="K789" s="242"/>
    </row>
    <row r="790">
      <c r="A790" s="121"/>
      <c r="B790" s="122"/>
      <c r="C790" s="163"/>
      <c r="D790" s="123"/>
      <c r="E790" s="123"/>
      <c r="F790" s="125"/>
      <c r="G790" s="125"/>
      <c r="H790" s="163"/>
      <c r="I790" s="126"/>
      <c r="J790" s="240"/>
      <c r="K790" s="242"/>
    </row>
    <row r="791">
      <c r="A791" s="121"/>
      <c r="B791" s="122"/>
      <c r="C791" s="163"/>
      <c r="D791" s="123"/>
      <c r="E791" s="123"/>
      <c r="F791" s="125"/>
      <c r="G791" s="125"/>
      <c r="H791" s="163"/>
      <c r="I791" s="126"/>
      <c r="J791" s="240"/>
      <c r="K791" s="242"/>
    </row>
    <row r="792">
      <c r="A792" s="121"/>
      <c r="B792" s="122"/>
      <c r="C792" s="163"/>
      <c r="D792" s="123"/>
      <c r="E792" s="123"/>
      <c r="F792" s="125"/>
      <c r="G792" s="125"/>
      <c r="H792" s="163"/>
      <c r="I792" s="126"/>
      <c r="J792" s="240"/>
      <c r="K792" s="242"/>
    </row>
    <row r="793">
      <c r="A793" s="121"/>
      <c r="B793" s="122"/>
      <c r="C793" s="163"/>
      <c r="D793" s="123"/>
      <c r="E793" s="123"/>
      <c r="F793" s="125"/>
      <c r="G793" s="125"/>
      <c r="H793" s="163"/>
      <c r="I793" s="126"/>
      <c r="J793" s="240"/>
      <c r="K793" s="242"/>
    </row>
    <row r="794">
      <c r="A794" s="121"/>
      <c r="B794" s="122"/>
      <c r="C794" s="163"/>
      <c r="D794" s="123"/>
      <c r="E794" s="123"/>
      <c r="F794" s="125"/>
      <c r="G794" s="125"/>
      <c r="H794" s="163"/>
      <c r="I794" s="126"/>
      <c r="J794" s="240"/>
      <c r="K794" s="242"/>
    </row>
    <row r="795">
      <c r="A795" s="121"/>
      <c r="B795" s="122"/>
      <c r="C795" s="163"/>
      <c r="D795" s="123"/>
      <c r="E795" s="123"/>
      <c r="F795" s="125"/>
      <c r="G795" s="125"/>
      <c r="H795" s="163"/>
      <c r="I795" s="126"/>
      <c r="J795" s="240"/>
      <c r="K795" s="242"/>
    </row>
    <row r="796">
      <c r="A796" s="121"/>
      <c r="B796" s="122"/>
      <c r="C796" s="163"/>
      <c r="D796" s="123"/>
      <c r="E796" s="123"/>
      <c r="F796" s="125"/>
      <c r="G796" s="125"/>
      <c r="H796" s="163"/>
      <c r="I796" s="126"/>
      <c r="J796" s="240"/>
      <c r="K796" s="242"/>
    </row>
    <row r="797">
      <c r="A797" s="121"/>
      <c r="B797" s="122"/>
      <c r="C797" s="163"/>
      <c r="D797" s="123"/>
      <c r="E797" s="123"/>
      <c r="F797" s="125"/>
      <c r="G797" s="125"/>
      <c r="H797" s="163"/>
      <c r="I797" s="126"/>
      <c r="J797" s="240"/>
      <c r="K797" s="242"/>
    </row>
    <row r="798">
      <c r="A798" s="121"/>
      <c r="B798" s="122"/>
      <c r="C798" s="163"/>
      <c r="D798" s="123"/>
      <c r="E798" s="123"/>
      <c r="F798" s="125"/>
      <c r="G798" s="125"/>
      <c r="H798" s="163"/>
      <c r="I798" s="126"/>
      <c r="J798" s="240"/>
      <c r="K798" s="242"/>
    </row>
    <row r="799">
      <c r="A799" s="121"/>
      <c r="B799" s="122"/>
      <c r="C799" s="163"/>
      <c r="D799" s="123"/>
      <c r="E799" s="123"/>
      <c r="F799" s="125"/>
      <c r="G799" s="125"/>
      <c r="H799" s="163"/>
      <c r="I799" s="126"/>
      <c r="J799" s="240"/>
      <c r="K799" s="242"/>
    </row>
    <row r="800">
      <c r="A800" s="121"/>
      <c r="B800" s="122"/>
      <c r="C800" s="163"/>
      <c r="D800" s="123"/>
      <c r="E800" s="123"/>
      <c r="F800" s="125"/>
      <c r="G800" s="125"/>
      <c r="H800" s="163"/>
      <c r="I800" s="126"/>
      <c r="J800" s="240"/>
      <c r="K800" s="242"/>
    </row>
    <row r="801">
      <c r="A801" s="121"/>
      <c r="B801" s="122"/>
      <c r="C801" s="163"/>
      <c r="D801" s="123"/>
      <c r="E801" s="123"/>
      <c r="F801" s="125"/>
      <c r="G801" s="125"/>
      <c r="H801" s="163"/>
      <c r="I801" s="126"/>
      <c r="J801" s="240"/>
      <c r="K801" s="242"/>
    </row>
    <row r="802">
      <c r="A802" s="121"/>
      <c r="B802" s="122"/>
      <c r="C802" s="163"/>
      <c r="D802" s="123"/>
      <c r="E802" s="123"/>
      <c r="F802" s="125"/>
      <c r="G802" s="125"/>
      <c r="H802" s="163"/>
      <c r="I802" s="126"/>
      <c r="J802" s="240"/>
      <c r="K802" s="242"/>
    </row>
    <row r="803">
      <c r="A803" s="121"/>
      <c r="B803" s="122"/>
      <c r="C803" s="163"/>
      <c r="D803" s="123"/>
      <c r="E803" s="123"/>
      <c r="F803" s="125"/>
      <c r="G803" s="125"/>
      <c r="H803" s="163"/>
      <c r="I803" s="126"/>
      <c r="J803" s="240"/>
      <c r="K803" s="242"/>
    </row>
    <row r="804">
      <c r="A804" s="121"/>
      <c r="B804" s="122"/>
      <c r="C804" s="163"/>
      <c r="D804" s="123"/>
      <c r="E804" s="123"/>
      <c r="F804" s="125"/>
      <c r="G804" s="125"/>
      <c r="H804" s="163"/>
      <c r="I804" s="126"/>
      <c r="J804" s="240"/>
      <c r="K804" s="242"/>
    </row>
    <row r="805">
      <c r="A805" s="121"/>
      <c r="B805" s="122"/>
      <c r="C805" s="163"/>
      <c r="D805" s="123"/>
      <c r="E805" s="123"/>
      <c r="F805" s="125"/>
      <c r="G805" s="125"/>
      <c r="H805" s="163"/>
      <c r="I805" s="126"/>
      <c r="J805" s="240"/>
      <c r="K805" s="242"/>
    </row>
    <row r="806">
      <c r="A806" s="121"/>
      <c r="B806" s="122"/>
      <c r="C806" s="163"/>
      <c r="D806" s="123"/>
      <c r="E806" s="123"/>
      <c r="F806" s="125"/>
      <c r="G806" s="125"/>
      <c r="H806" s="163"/>
      <c r="I806" s="126"/>
      <c r="J806" s="240"/>
      <c r="K806" s="242"/>
    </row>
    <row r="807">
      <c r="A807" s="121"/>
      <c r="B807" s="122"/>
      <c r="C807" s="163"/>
      <c r="D807" s="123"/>
      <c r="E807" s="123"/>
      <c r="F807" s="125"/>
      <c r="G807" s="125"/>
      <c r="H807" s="163"/>
      <c r="I807" s="126"/>
      <c r="J807" s="240"/>
      <c r="K807" s="242"/>
    </row>
    <row r="808">
      <c r="A808" s="121"/>
      <c r="B808" s="122"/>
      <c r="C808" s="163"/>
      <c r="D808" s="123"/>
      <c r="E808" s="123"/>
      <c r="F808" s="125"/>
      <c r="G808" s="125"/>
      <c r="H808" s="163"/>
      <c r="I808" s="126"/>
      <c r="J808" s="240"/>
      <c r="K808" s="242"/>
    </row>
    <row r="809">
      <c r="A809" s="121"/>
      <c r="B809" s="122"/>
      <c r="C809" s="163"/>
      <c r="D809" s="123"/>
      <c r="E809" s="123"/>
      <c r="F809" s="125"/>
      <c r="G809" s="125"/>
      <c r="H809" s="163"/>
      <c r="I809" s="126"/>
      <c r="J809" s="240"/>
      <c r="K809" s="242"/>
    </row>
    <row r="810">
      <c r="A810" s="121"/>
      <c r="B810" s="122"/>
      <c r="C810" s="163"/>
      <c r="D810" s="123"/>
      <c r="E810" s="123"/>
      <c r="F810" s="125"/>
      <c r="G810" s="125"/>
      <c r="H810" s="163"/>
      <c r="I810" s="126"/>
      <c r="J810" s="240"/>
      <c r="K810" s="242"/>
    </row>
    <row r="811">
      <c r="A811" s="121"/>
      <c r="B811" s="122"/>
      <c r="C811" s="163"/>
      <c r="D811" s="123"/>
      <c r="E811" s="123"/>
      <c r="F811" s="125"/>
      <c r="G811" s="125"/>
      <c r="H811" s="163"/>
      <c r="I811" s="126"/>
      <c r="J811" s="240"/>
      <c r="K811" s="242"/>
    </row>
    <row r="812">
      <c r="A812" s="121"/>
      <c r="B812" s="122"/>
      <c r="C812" s="163"/>
      <c r="D812" s="123"/>
      <c r="E812" s="123"/>
      <c r="F812" s="125"/>
      <c r="G812" s="125"/>
      <c r="H812" s="163"/>
      <c r="I812" s="126"/>
      <c r="J812" s="240"/>
      <c r="K812" s="242"/>
    </row>
    <row r="813">
      <c r="A813" s="121"/>
      <c r="B813" s="122"/>
      <c r="C813" s="163"/>
      <c r="D813" s="123"/>
      <c r="E813" s="123"/>
      <c r="F813" s="125"/>
      <c r="G813" s="125"/>
      <c r="H813" s="163"/>
      <c r="I813" s="126"/>
      <c r="J813" s="240"/>
      <c r="K813" s="242"/>
    </row>
    <row r="814">
      <c r="A814" s="121"/>
      <c r="B814" s="122"/>
      <c r="C814" s="163"/>
      <c r="D814" s="123"/>
      <c r="E814" s="123"/>
      <c r="F814" s="125"/>
      <c r="G814" s="125"/>
      <c r="H814" s="163"/>
      <c r="I814" s="126"/>
      <c r="J814" s="240"/>
      <c r="K814" s="242"/>
    </row>
    <row r="815">
      <c r="A815" s="121"/>
      <c r="B815" s="122"/>
      <c r="C815" s="163"/>
      <c r="D815" s="123"/>
      <c r="E815" s="123"/>
      <c r="F815" s="125"/>
      <c r="G815" s="125"/>
      <c r="H815" s="163"/>
      <c r="I815" s="126"/>
      <c r="J815" s="240"/>
      <c r="K815" s="242"/>
    </row>
    <row r="816">
      <c r="A816" s="121"/>
      <c r="B816" s="122"/>
      <c r="C816" s="163"/>
      <c r="D816" s="123"/>
      <c r="E816" s="123"/>
      <c r="F816" s="125"/>
      <c r="G816" s="125"/>
      <c r="H816" s="163"/>
      <c r="I816" s="126"/>
      <c r="J816" s="240"/>
      <c r="K816" s="242"/>
    </row>
    <row r="817">
      <c r="A817" s="121"/>
      <c r="B817" s="122"/>
      <c r="C817" s="163"/>
      <c r="D817" s="123"/>
      <c r="E817" s="123"/>
      <c r="F817" s="125"/>
      <c r="G817" s="125"/>
      <c r="H817" s="163"/>
      <c r="I817" s="126"/>
      <c r="J817" s="240"/>
      <c r="K817" s="242"/>
    </row>
    <row r="818">
      <c r="A818" s="121"/>
      <c r="B818" s="122"/>
      <c r="C818" s="163"/>
      <c r="D818" s="123"/>
      <c r="E818" s="123"/>
      <c r="F818" s="125"/>
      <c r="G818" s="125"/>
      <c r="H818" s="163"/>
      <c r="I818" s="126"/>
      <c r="J818" s="240"/>
      <c r="K818" s="242"/>
    </row>
    <row r="819">
      <c r="A819" s="121"/>
      <c r="B819" s="122"/>
      <c r="C819" s="163"/>
      <c r="D819" s="123"/>
      <c r="E819" s="123"/>
      <c r="F819" s="125"/>
      <c r="G819" s="125"/>
      <c r="H819" s="163"/>
      <c r="I819" s="126"/>
      <c r="J819" s="240"/>
      <c r="K819" s="242"/>
    </row>
    <row r="820">
      <c r="A820" s="121"/>
      <c r="B820" s="122"/>
      <c r="C820" s="163"/>
      <c r="D820" s="123"/>
      <c r="E820" s="123"/>
      <c r="F820" s="125"/>
      <c r="G820" s="125"/>
      <c r="H820" s="163"/>
      <c r="I820" s="126"/>
      <c r="J820" s="240"/>
      <c r="K820" s="242"/>
    </row>
    <row r="821">
      <c r="A821" s="121"/>
      <c r="B821" s="122"/>
      <c r="C821" s="163"/>
      <c r="D821" s="123"/>
      <c r="E821" s="123"/>
      <c r="F821" s="125"/>
      <c r="G821" s="125"/>
      <c r="H821" s="163"/>
      <c r="I821" s="126"/>
      <c r="J821" s="240"/>
      <c r="K821" s="242"/>
    </row>
    <row r="822">
      <c r="A822" s="121"/>
      <c r="B822" s="122"/>
      <c r="C822" s="163"/>
      <c r="D822" s="123"/>
      <c r="E822" s="123"/>
      <c r="F822" s="125"/>
      <c r="G822" s="125"/>
      <c r="H822" s="163"/>
      <c r="I822" s="126"/>
      <c r="J822" s="240"/>
      <c r="K822" s="242"/>
    </row>
    <row r="823">
      <c r="A823" s="121"/>
      <c r="B823" s="122"/>
      <c r="C823" s="163"/>
      <c r="D823" s="123"/>
      <c r="E823" s="123"/>
      <c r="F823" s="125"/>
      <c r="G823" s="125"/>
      <c r="H823" s="163"/>
      <c r="I823" s="126"/>
      <c r="J823" s="240"/>
      <c r="K823" s="242"/>
    </row>
    <row r="824">
      <c r="A824" s="121"/>
      <c r="B824" s="122"/>
      <c r="C824" s="163"/>
      <c r="D824" s="123"/>
      <c r="E824" s="123"/>
      <c r="F824" s="125"/>
      <c r="G824" s="125"/>
      <c r="H824" s="163"/>
      <c r="I824" s="126"/>
      <c r="J824" s="240"/>
      <c r="K824" s="242"/>
    </row>
    <row r="825">
      <c r="A825" s="121"/>
      <c r="B825" s="122"/>
      <c r="C825" s="163"/>
      <c r="D825" s="123"/>
      <c r="E825" s="123"/>
      <c r="F825" s="125"/>
      <c r="G825" s="125"/>
      <c r="H825" s="163"/>
      <c r="I825" s="126"/>
      <c r="J825" s="240"/>
      <c r="K825" s="242"/>
    </row>
    <row r="826">
      <c r="A826" s="121"/>
      <c r="B826" s="122"/>
      <c r="C826" s="163"/>
      <c r="D826" s="123"/>
      <c r="E826" s="123"/>
      <c r="F826" s="125"/>
      <c r="G826" s="125"/>
      <c r="H826" s="163"/>
      <c r="I826" s="126"/>
      <c r="J826" s="240"/>
      <c r="K826" s="242"/>
    </row>
    <row r="827">
      <c r="A827" s="121"/>
      <c r="B827" s="122"/>
      <c r="C827" s="163"/>
      <c r="D827" s="123"/>
      <c r="E827" s="123"/>
      <c r="F827" s="125"/>
      <c r="G827" s="125"/>
      <c r="H827" s="163"/>
      <c r="I827" s="126"/>
      <c r="J827" s="240"/>
      <c r="K827" s="242"/>
    </row>
    <row r="828">
      <c r="A828" s="121"/>
      <c r="B828" s="122"/>
      <c r="C828" s="163"/>
      <c r="D828" s="123"/>
      <c r="E828" s="123"/>
      <c r="F828" s="125"/>
      <c r="G828" s="125"/>
      <c r="H828" s="163"/>
      <c r="I828" s="126"/>
      <c r="J828" s="240"/>
      <c r="K828" s="242"/>
    </row>
    <row r="829">
      <c r="A829" s="121"/>
      <c r="B829" s="122"/>
      <c r="C829" s="163"/>
      <c r="D829" s="123"/>
      <c r="E829" s="123"/>
      <c r="F829" s="125"/>
      <c r="G829" s="125"/>
      <c r="H829" s="163"/>
      <c r="I829" s="126"/>
      <c r="J829" s="240"/>
      <c r="K829" s="242"/>
    </row>
    <row r="830">
      <c r="A830" s="121"/>
      <c r="B830" s="122"/>
      <c r="C830" s="163"/>
      <c r="D830" s="123"/>
      <c r="E830" s="123"/>
      <c r="F830" s="125"/>
      <c r="G830" s="125"/>
      <c r="H830" s="163"/>
      <c r="I830" s="126"/>
      <c r="J830" s="240"/>
      <c r="K830" s="242"/>
    </row>
    <row r="831">
      <c r="A831" s="121"/>
      <c r="B831" s="122"/>
      <c r="C831" s="163"/>
      <c r="D831" s="123"/>
      <c r="E831" s="123"/>
      <c r="F831" s="125"/>
      <c r="G831" s="125"/>
      <c r="H831" s="163"/>
      <c r="I831" s="126"/>
      <c r="J831" s="240"/>
      <c r="K831" s="242"/>
    </row>
    <row r="832">
      <c r="A832" s="121"/>
      <c r="B832" s="122"/>
      <c r="C832" s="163"/>
      <c r="D832" s="123"/>
      <c r="E832" s="123"/>
      <c r="F832" s="125"/>
      <c r="G832" s="125"/>
      <c r="H832" s="163"/>
      <c r="I832" s="126"/>
      <c r="J832" s="240"/>
      <c r="K832" s="242"/>
    </row>
    <row r="833">
      <c r="A833" s="121"/>
      <c r="B833" s="122"/>
      <c r="C833" s="163"/>
      <c r="D833" s="123"/>
      <c r="E833" s="123"/>
      <c r="F833" s="125"/>
      <c r="G833" s="125"/>
      <c r="H833" s="163"/>
      <c r="I833" s="126"/>
      <c r="J833" s="240"/>
      <c r="K833" s="242"/>
    </row>
    <row r="834">
      <c r="A834" s="121"/>
      <c r="B834" s="122"/>
      <c r="C834" s="163"/>
      <c r="D834" s="123"/>
      <c r="E834" s="123"/>
      <c r="F834" s="125"/>
      <c r="G834" s="125"/>
      <c r="H834" s="163"/>
      <c r="I834" s="126"/>
      <c r="J834" s="240"/>
      <c r="K834" s="242"/>
    </row>
    <row r="835">
      <c r="A835" s="121"/>
      <c r="B835" s="122"/>
      <c r="C835" s="163"/>
      <c r="D835" s="123"/>
      <c r="E835" s="123"/>
      <c r="F835" s="125"/>
      <c r="G835" s="125"/>
      <c r="H835" s="163"/>
      <c r="I835" s="126"/>
      <c r="J835" s="240"/>
      <c r="K835" s="242"/>
    </row>
    <row r="836">
      <c r="A836" s="121"/>
      <c r="B836" s="122"/>
      <c r="C836" s="163"/>
      <c r="D836" s="123"/>
      <c r="E836" s="123"/>
      <c r="F836" s="125"/>
      <c r="G836" s="125"/>
      <c r="H836" s="163"/>
      <c r="I836" s="126"/>
      <c r="J836" s="240"/>
      <c r="K836" s="242"/>
    </row>
    <row r="837">
      <c r="A837" s="121"/>
      <c r="B837" s="122"/>
      <c r="C837" s="163"/>
      <c r="D837" s="123"/>
      <c r="E837" s="123"/>
      <c r="F837" s="125"/>
      <c r="G837" s="125"/>
      <c r="H837" s="163"/>
      <c r="I837" s="126"/>
      <c r="J837" s="240"/>
      <c r="K837" s="242"/>
    </row>
    <row r="838">
      <c r="A838" s="121"/>
      <c r="B838" s="122"/>
      <c r="C838" s="163"/>
      <c r="D838" s="123"/>
      <c r="E838" s="123"/>
      <c r="F838" s="125"/>
      <c r="G838" s="125"/>
      <c r="H838" s="163"/>
      <c r="I838" s="126"/>
      <c r="J838" s="240"/>
      <c r="K838" s="242"/>
    </row>
    <row r="839">
      <c r="A839" s="121"/>
      <c r="B839" s="122"/>
      <c r="C839" s="163"/>
      <c r="D839" s="123"/>
      <c r="E839" s="123"/>
      <c r="F839" s="125"/>
      <c r="G839" s="125"/>
      <c r="H839" s="163"/>
      <c r="I839" s="126"/>
      <c r="J839" s="240"/>
      <c r="K839" s="242"/>
    </row>
    <row r="840">
      <c r="A840" s="121"/>
      <c r="B840" s="122"/>
      <c r="C840" s="163"/>
      <c r="D840" s="123"/>
      <c r="E840" s="123"/>
      <c r="F840" s="125"/>
      <c r="G840" s="125"/>
      <c r="H840" s="163"/>
      <c r="I840" s="126"/>
      <c r="J840" s="240"/>
      <c r="K840" s="242"/>
    </row>
    <row r="841">
      <c r="A841" s="121"/>
      <c r="B841" s="122"/>
      <c r="C841" s="163"/>
      <c r="D841" s="123"/>
      <c r="E841" s="123"/>
      <c r="F841" s="125"/>
      <c r="G841" s="125"/>
      <c r="H841" s="163"/>
      <c r="I841" s="126"/>
      <c r="J841" s="240"/>
      <c r="K841" s="242"/>
    </row>
    <row r="842">
      <c r="A842" s="121"/>
      <c r="B842" s="122"/>
      <c r="C842" s="163"/>
      <c r="D842" s="123"/>
      <c r="E842" s="123"/>
      <c r="F842" s="125"/>
      <c r="G842" s="125"/>
      <c r="H842" s="163"/>
      <c r="I842" s="126"/>
      <c r="J842" s="240"/>
      <c r="K842" s="242"/>
    </row>
    <row r="843">
      <c r="A843" s="121"/>
      <c r="B843" s="122"/>
      <c r="C843" s="163"/>
      <c r="D843" s="123"/>
      <c r="E843" s="123"/>
      <c r="F843" s="125"/>
      <c r="G843" s="125"/>
      <c r="H843" s="163"/>
      <c r="I843" s="126"/>
      <c r="J843" s="240"/>
      <c r="K843" s="242"/>
    </row>
    <row r="844">
      <c r="A844" s="121"/>
      <c r="B844" s="122"/>
      <c r="C844" s="163"/>
      <c r="D844" s="123"/>
      <c r="E844" s="123"/>
      <c r="F844" s="125"/>
      <c r="G844" s="125"/>
      <c r="H844" s="163"/>
      <c r="I844" s="126"/>
      <c r="J844" s="240"/>
      <c r="K844" s="242"/>
    </row>
    <row r="845">
      <c r="A845" s="121"/>
      <c r="B845" s="122"/>
      <c r="C845" s="163"/>
      <c r="D845" s="123"/>
      <c r="E845" s="123"/>
      <c r="F845" s="125"/>
      <c r="G845" s="125"/>
      <c r="H845" s="163"/>
      <c r="I845" s="126"/>
      <c r="J845" s="240"/>
      <c r="K845" s="242"/>
    </row>
    <row r="846">
      <c r="A846" s="121"/>
      <c r="B846" s="122"/>
      <c r="C846" s="163"/>
      <c r="D846" s="123"/>
      <c r="E846" s="123"/>
      <c r="F846" s="125"/>
      <c r="G846" s="125"/>
      <c r="H846" s="163"/>
      <c r="I846" s="126"/>
      <c r="J846" s="240"/>
      <c r="K846" s="242"/>
    </row>
    <row r="847">
      <c r="A847" s="121"/>
      <c r="B847" s="122"/>
      <c r="C847" s="163"/>
      <c r="D847" s="123"/>
      <c r="E847" s="123"/>
      <c r="F847" s="125"/>
      <c r="G847" s="125"/>
      <c r="H847" s="163"/>
      <c r="I847" s="126"/>
      <c r="J847" s="240"/>
      <c r="K847" s="242"/>
    </row>
    <row r="848">
      <c r="A848" s="121"/>
      <c r="B848" s="122"/>
      <c r="C848" s="163"/>
      <c r="D848" s="123"/>
      <c r="E848" s="123"/>
      <c r="F848" s="125"/>
      <c r="G848" s="125"/>
      <c r="H848" s="163"/>
      <c r="I848" s="126"/>
      <c r="J848" s="240"/>
      <c r="K848" s="242"/>
    </row>
    <row r="849">
      <c r="A849" s="121"/>
      <c r="B849" s="122"/>
      <c r="C849" s="163"/>
      <c r="D849" s="123"/>
      <c r="E849" s="123"/>
      <c r="F849" s="125"/>
      <c r="G849" s="125"/>
      <c r="H849" s="163"/>
      <c r="I849" s="126"/>
      <c r="J849" s="240"/>
      <c r="K849" s="242"/>
    </row>
    <row r="850">
      <c r="A850" s="121"/>
      <c r="B850" s="122"/>
      <c r="C850" s="163"/>
      <c r="D850" s="123"/>
      <c r="E850" s="123"/>
      <c r="F850" s="125"/>
      <c r="G850" s="125"/>
      <c r="H850" s="163"/>
      <c r="I850" s="126"/>
      <c r="J850" s="240"/>
      <c r="K850" s="242"/>
    </row>
    <row r="851">
      <c r="A851" s="121"/>
      <c r="B851" s="122"/>
      <c r="C851" s="163"/>
      <c r="D851" s="123"/>
      <c r="E851" s="123"/>
      <c r="F851" s="125"/>
      <c r="G851" s="125"/>
      <c r="H851" s="163"/>
      <c r="I851" s="126"/>
      <c r="J851" s="240"/>
      <c r="K851" s="242"/>
    </row>
    <row r="852">
      <c r="A852" s="121"/>
      <c r="B852" s="122"/>
      <c r="C852" s="163"/>
      <c r="D852" s="123"/>
      <c r="E852" s="123"/>
      <c r="F852" s="125"/>
      <c r="G852" s="125"/>
      <c r="H852" s="163"/>
      <c r="I852" s="126"/>
      <c r="J852" s="240"/>
      <c r="K852" s="242"/>
    </row>
    <row r="853">
      <c r="A853" s="121"/>
      <c r="B853" s="122"/>
      <c r="C853" s="163"/>
      <c r="D853" s="123"/>
      <c r="E853" s="123"/>
      <c r="F853" s="125"/>
      <c r="G853" s="125"/>
      <c r="H853" s="163"/>
      <c r="I853" s="126"/>
      <c r="J853" s="240"/>
      <c r="K853" s="242"/>
    </row>
    <row r="854">
      <c r="A854" s="121"/>
      <c r="B854" s="122"/>
      <c r="C854" s="163"/>
      <c r="D854" s="123"/>
      <c r="E854" s="123"/>
      <c r="F854" s="125"/>
      <c r="G854" s="125"/>
      <c r="H854" s="163"/>
      <c r="I854" s="126"/>
      <c r="J854" s="240"/>
      <c r="K854" s="242"/>
    </row>
    <row r="855">
      <c r="A855" s="121"/>
      <c r="B855" s="122"/>
      <c r="C855" s="163"/>
      <c r="D855" s="123"/>
      <c r="E855" s="123"/>
      <c r="F855" s="125"/>
      <c r="G855" s="125"/>
      <c r="H855" s="163"/>
      <c r="I855" s="126"/>
      <c r="J855" s="240"/>
      <c r="K855" s="242"/>
    </row>
    <row r="856">
      <c r="A856" s="121"/>
      <c r="B856" s="122"/>
      <c r="C856" s="163"/>
      <c r="D856" s="123"/>
      <c r="E856" s="123"/>
      <c r="F856" s="125"/>
      <c r="G856" s="125"/>
      <c r="H856" s="163"/>
      <c r="I856" s="126"/>
      <c r="J856" s="240"/>
      <c r="K856" s="242"/>
    </row>
    <row r="857">
      <c r="A857" s="121"/>
      <c r="B857" s="122"/>
      <c r="C857" s="163"/>
      <c r="D857" s="123"/>
      <c r="E857" s="123"/>
      <c r="F857" s="125"/>
      <c r="G857" s="125"/>
      <c r="H857" s="163"/>
      <c r="I857" s="126"/>
      <c r="J857" s="240"/>
      <c r="K857" s="242"/>
    </row>
    <row r="858">
      <c r="A858" s="121"/>
      <c r="B858" s="122"/>
      <c r="C858" s="163"/>
      <c r="D858" s="123"/>
      <c r="E858" s="123"/>
      <c r="F858" s="125"/>
      <c r="G858" s="125"/>
      <c r="H858" s="163"/>
      <c r="I858" s="126"/>
      <c r="J858" s="240"/>
      <c r="K858" s="242"/>
    </row>
    <row r="859">
      <c r="A859" s="121"/>
      <c r="B859" s="122"/>
      <c r="C859" s="163"/>
      <c r="D859" s="123"/>
      <c r="E859" s="123"/>
      <c r="F859" s="125"/>
      <c r="G859" s="125"/>
      <c r="H859" s="163"/>
      <c r="I859" s="126"/>
      <c r="J859" s="240"/>
      <c r="K859" s="242"/>
    </row>
    <row r="860">
      <c r="A860" s="121"/>
      <c r="B860" s="122"/>
      <c r="C860" s="163"/>
      <c r="D860" s="123"/>
      <c r="E860" s="123"/>
      <c r="F860" s="125"/>
      <c r="G860" s="125"/>
      <c r="H860" s="163"/>
      <c r="I860" s="126"/>
      <c r="J860" s="240"/>
      <c r="K860" s="242"/>
    </row>
    <row r="861">
      <c r="A861" s="121"/>
      <c r="B861" s="122"/>
      <c r="C861" s="163"/>
      <c r="D861" s="123"/>
      <c r="E861" s="123"/>
      <c r="F861" s="125"/>
      <c r="G861" s="125"/>
      <c r="H861" s="163"/>
      <c r="I861" s="126"/>
      <c r="J861" s="240"/>
      <c r="K861" s="242"/>
    </row>
    <row r="862">
      <c r="A862" s="121"/>
      <c r="B862" s="122"/>
      <c r="C862" s="163"/>
      <c r="D862" s="123"/>
      <c r="E862" s="123"/>
      <c r="F862" s="125"/>
      <c r="G862" s="125"/>
      <c r="H862" s="163"/>
      <c r="I862" s="126"/>
      <c r="J862" s="240"/>
      <c r="K862" s="242"/>
    </row>
    <row r="863">
      <c r="A863" s="121"/>
      <c r="B863" s="122"/>
      <c r="C863" s="163"/>
      <c r="D863" s="123"/>
      <c r="E863" s="123"/>
      <c r="F863" s="125"/>
      <c r="G863" s="125"/>
      <c r="H863" s="163"/>
      <c r="I863" s="126"/>
      <c r="J863" s="240"/>
      <c r="K863" s="242"/>
    </row>
    <row r="864">
      <c r="A864" s="121"/>
      <c r="B864" s="122"/>
      <c r="C864" s="163"/>
      <c r="D864" s="123"/>
      <c r="E864" s="123"/>
      <c r="F864" s="125"/>
      <c r="G864" s="125"/>
      <c r="H864" s="163"/>
      <c r="I864" s="126"/>
      <c r="J864" s="240"/>
      <c r="K864" s="242"/>
    </row>
    <row r="865">
      <c r="A865" s="121"/>
      <c r="B865" s="122"/>
      <c r="C865" s="163"/>
      <c r="D865" s="123"/>
      <c r="E865" s="123"/>
      <c r="F865" s="125"/>
      <c r="G865" s="125"/>
      <c r="H865" s="163"/>
      <c r="I865" s="126"/>
      <c r="J865" s="240"/>
      <c r="K865" s="242"/>
    </row>
    <row r="866">
      <c r="A866" s="121"/>
      <c r="B866" s="122"/>
      <c r="C866" s="163"/>
      <c r="D866" s="123"/>
      <c r="E866" s="123"/>
      <c r="F866" s="125"/>
      <c r="G866" s="125"/>
      <c r="H866" s="163"/>
      <c r="I866" s="126"/>
      <c r="J866" s="240"/>
      <c r="K866" s="242"/>
    </row>
    <row r="867">
      <c r="A867" s="121"/>
      <c r="B867" s="122"/>
      <c r="C867" s="163"/>
      <c r="D867" s="123"/>
      <c r="E867" s="123"/>
      <c r="F867" s="125"/>
      <c r="G867" s="125"/>
      <c r="H867" s="163"/>
      <c r="I867" s="126"/>
      <c r="J867" s="240"/>
      <c r="K867" s="242"/>
    </row>
    <row r="868">
      <c r="A868" s="121"/>
      <c r="B868" s="122"/>
      <c r="C868" s="163"/>
      <c r="D868" s="123"/>
      <c r="E868" s="123"/>
      <c r="F868" s="125"/>
      <c r="G868" s="125"/>
      <c r="H868" s="163"/>
      <c r="I868" s="126"/>
      <c r="J868" s="240"/>
      <c r="K868" s="242"/>
    </row>
    <row r="869">
      <c r="A869" s="121"/>
      <c r="B869" s="122"/>
      <c r="C869" s="163"/>
      <c r="D869" s="123"/>
      <c r="E869" s="123"/>
      <c r="F869" s="125"/>
      <c r="G869" s="125"/>
      <c r="H869" s="163"/>
      <c r="I869" s="126"/>
      <c r="J869" s="240"/>
      <c r="K869" s="242"/>
    </row>
    <row r="870">
      <c r="A870" s="121"/>
      <c r="B870" s="122"/>
      <c r="C870" s="163"/>
      <c r="D870" s="123"/>
      <c r="E870" s="123"/>
      <c r="F870" s="125"/>
      <c r="G870" s="125"/>
      <c r="H870" s="163"/>
      <c r="I870" s="126"/>
      <c r="J870" s="240"/>
      <c r="K870" s="242"/>
    </row>
    <row r="871">
      <c r="A871" s="121"/>
      <c r="B871" s="122"/>
      <c r="C871" s="163"/>
      <c r="D871" s="123"/>
      <c r="E871" s="123"/>
      <c r="F871" s="125"/>
      <c r="G871" s="125"/>
      <c r="H871" s="163"/>
      <c r="I871" s="126"/>
      <c r="J871" s="240"/>
      <c r="K871" s="242"/>
    </row>
    <row r="872">
      <c r="A872" s="121"/>
      <c r="B872" s="122"/>
      <c r="C872" s="163"/>
      <c r="D872" s="123"/>
      <c r="E872" s="123"/>
      <c r="F872" s="125"/>
      <c r="G872" s="125"/>
      <c r="H872" s="163"/>
      <c r="I872" s="126"/>
      <c r="J872" s="240"/>
      <c r="K872" s="242"/>
    </row>
    <row r="873">
      <c r="A873" s="121"/>
      <c r="B873" s="122"/>
      <c r="C873" s="163"/>
      <c r="D873" s="123"/>
      <c r="E873" s="123"/>
      <c r="F873" s="125"/>
      <c r="G873" s="125"/>
      <c r="H873" s="163"/>
      <c r="I873" s="126"/>
      <c r="J873" s="240"/>
      <c r="K873" s="242"/>
    </row>
    <row r="874">
      <c r="A874" s="121"/>
      <c r="B874" s="122"/>
      <c r="C874" s="163"/>
      <c r="D874" s="123"/>
      <c r="E874" s="123"/>
      <c r="F874" s="125"/>
      <c r="G874" s="125"/>
      <c r="H874" s="163"/>
      <c r="I874" s="126"/>
      <c r="J874" s="240"/>
      <c r="K874" s="242"/>
    </row>
    <row r="875">
      <c r="A875" s="121"/>
      <c r="B875" s="122"/>
      <c r="C875" s="163"/>
      <c r="D875" s="123"/>
      <c r="E875" s="123"/>
      <c r="F875" s="125"/>
      <c r="G875" s="125"/>
      <c r="H875" s="163"/>
      <c r="I875" s="126"/>
      <c r="J875" s="240"/>
      <c r="K875" s="242"/>
    </row>
    <row r="876">
      <c r="A876" s="121"/>
      <c r="B876" s="122"/>
      <c r="C876" s="163"/>
      <c r="D876" s="123"/>
      <c r="E876" s="123"/>
      <c r="F876" s="125"/>
      <c r="G876" s="125"/>
      <c r="H876" s="163"/>
      <c r="I876" s="126"/>
      <c r="J876" s="240"/>
      <c r="K876" s="242"/>
    </row>
    <row r="877">
      <c r="A877" s="121"/>
      <c r="B877" s="122"/>
      <c r="C877" s="163"/>
      <c r="D877" s="123"/>
      <c r="E877" s="123"/>
      <c r="F877" s="125"/>
      <c r="G877" s="125"/>
      <c r="H877" s="163"/>
      <c r="I877" s="126"/>
      <c r="J877" s="240"/>
      <c r="K877" s="242"/>
    </row>
    <row r="878">
      <c r="A878" s="121"/>
      <c r="B878" s="122"/>
      <c r="C878" s="163"/>
      <c r="D878" s="123"/>
      <c r="E878" s="123"/>
      <c r="F878" s="125"/>
      <c r="G878" s="125"/>
      <c r="H878" s="163"/>
      <c r="I878" s="126"/>
      <c r="J878" s="240"/>
      <c r="K878" s="242"/>
    </row>
    <row r="879">
      <c r="A879" s="121"/>
      <c r="B879" s="122"/>
      <c r="C879" s="163"/>
      <c r="D879" s="123"/>
      <c r="E879" s="123"/>
      <c r="F879" s="125"/>
      <c r="G879" s="125"/>
      <c r="H879" s="163"/>
      <c r="I879" s="126"/>
      <c r="J879" s="240"/>
      <c r="K879" s="242"/>
    </row>
    <row r="880">
      <c r="A880" s="121"/>
      <c r="B880" s="122"/>
      <c r="C880" s="163"/>
      <c r="D880" s="123"/>
      <c r="E880" s="123"/>
      <c r="F880" s="125"/>
      <c r="G880" s="125"/>
      <c r="H880" s="163"/>
      <c r="I880" s="126"/>
      <c r="J880" s="240"/>
      <c r="K880" s="242"/>
    </row>
    <row r="881">
      <c r="A881" s="121"/>
      <c r="B881" s="122"/>
      <c r="C881" s="163"/>
      <c r="D881" s="123"/>
      <c r="E881" s="123"/>
      <c r="F881" s="125"/>
      <c r="G881" s="125"/>
      <c r="H881" s="163"/>
      <c r="I881" s="126"/>
      <c r="J881" s="240"/>
      <c r="K881" s="242"/>
    </row>
    <row r="882">
      <c r="A882" s="121"/>
      <c r="B882" s="122"/>
      <c r="C882" s="163"/>
      <c r="D882" s="123"/>
      <c r="E882" s="123"/>
      <c r="F882" s="125"/>
      <c r="G882" s="125"/>
      <c r="H882" s="163"/>
      <c r="I882" s="126"/>
      <c r="J882" s="240"/>
      <c r="K882" s="242"/>
    </row>
    <row r="883">
      <c r="A883" s="121"/>
      <c r="B883" s="122"/>
      <c r="C883" s="163"/>
      <c r="D883" s="123"/>
      <c r="E883" s="123"/>
      <c r="F883" s="125"/>
      <c r="G883" s="125"/>
      <c r="H883" s="163"/>
      <c r="I883" s="126"/>
      <c r="J883" s="240"/>
      <c r="K883" s="242"/>
    </row>
    <row r="884">
      <c r="A884" s="121"/>
      <c r="B884" s="122"/>
      <c r="C884" s="163"/>
      <c r="D884" s="123"/>
      <c r="E884" s="123"/>
      <c r="F884" s="125"/>
      <c r="G884" s="125"/>
      <c r="H884" s="163"/>
      <c r="I884" s="126"/>
      <c r="J884" s="240"/>
      <c r="K884" s="242"/>
    </row>
    <row r="885">
      <c r="A885" s="121"/>
      <c r="B885" s="122"/>
      <c r="C885" s="163"/>
      <c r="D885" s="123"/>
      <c r="E885" s="123"/>
      <c r="F885" s="125"/>
      <c r="G885" s="125"/>
      <c r="H885" s="163"/>
      <c r="I885" s="126"/>
      <c r="J885" s="240"/>
      <c r="K885" s="242"/>
    </row>
    <row r="886">
      <c r="A886" s="121"/>
      <c r="B886" s="122"/>
      <c r="C886" s="163"/>
      <c r="D886" s="123"/>
      <c r="E886" s="123"/>
      <c r="F886" s="125"/>
      <c r="G886" s="125"/>
      <c r="H886" s="163"/>
      <c r="I886" s="126"/>
      <c r="J886" s="240"/>
      <c r="K886" s="242"/>
    </row>
    <row r="887">
      <c r="A887" s="121"/>
      <c r="B887" s="122"/>
      <c r="C887" s="163"/>
      <c r="D887" s="123"/>
      <c r="E887" s="123"/>
      <c r="F887" s="125"/>
      <c r="G887" s="125"/>
      <c r="H887" s="163"/>
      <c r="I887" s="126"/>
      <c r="J887" s="240"/>
      <c r="K887" s="242"/>
    </row>
    <row r="888">
      <c r="A888" s="121"/>
      <c r="B888" s="122"/>
      <c r="C888" s="163"/>
      <c r="D888" s="123"/>
      <c r="E888" s="123"/>
      <c r="F888" s="125"/>
      <c r="G888" s="125"/>
      <c r="H888" s="163"/>
      <c r="I888" s="126"/>
      <c r="J888" s="240"/>
      <c r="K888" s="242"/>
    </row>
    <row r="889">
      <c r="A889" s="121"/>
      <c r="B889" s="122"/>
      <c r="C889" s="163"/>
      <c r="D889" s="123"/>
      <c r="E889" s="123"/>
      <c r="F889" s="125"/>
      <c r="G889" s="125"/>
      <c r="H889" s="163"/>
      <c r="I889" s="126"/>
      <c r="J889" s="240"/>
      <c r="K889" s="242"/>
    </row>
    <row r="890">
      <c r="A890" s="121"/>
      <c r="B890" s="122"/>
      <c r="C890" s="163"/>
      <c r="D890" s="123"/>
      <c r="E890" s="123"/>
      <c r="F890" s="125"/>
      <c r="G890" s="125"/>
      <c r="H890" s="163"/>
      <c r="I890" s="126"/>
      <c r="J890" s="240"/>
      <c r="K890" s="242"/>
    </row>
    <row r="891">
      <c r="A891" s="121"/>
      <c r="B891" s="122"/>
      <c r="C891" s="163"/>
      <c r="D891" s="123"/>
      <c r="E891" s="123"/>
      <c r="F891" s="125"/>
      <c r="G891" s="125"/>
      <c r="H891" s="163"/>
      <c r="I891" s="126"/>
      <c r="J891" s="240"/>
      <c r="K891" s="242"/>
    </row>
    <row r="892">
      <c r="A892" s="121"/>
      <c r="B892" s="122"/>
      <c r="C892" s="163"/>
      <c r="D892" s="123"/>
      <c r="E892" s="123"/>
      <c r="F892" s="125"/>
      <c r="G892" s="125"/>
      <c r="H892" s="163"/>
      <c r="I892" s="126"/>
      <c r="J892" s="240"/>
      <c r="K892" s="242"/>
    </row>
    <row r="893">
      <c r="A893" s="121"/>
      <c r="B893" s="122"/>
      <c r="C893" s="163"/>
      <c r="D893" s="123"/>
      <c r="E893" s="123"/>
      <c r="F893" s="125"/>
      <c r="G893" s="125"/>
      <c r="H893" s="163"/>
      <c r="I893" s="126"/>
      <c r="J893" s="240"/>
      <c r="K893" s="242"/>
    </row>
    <row r="894">
      <c r="A894" s="121"/>
      <c r="B894" s="122"/>
      <c r="C894" s="163"/>
      <c r="D894" s="123"/>
      <c r="E894" s="123"/>
      <c r="F894" s="125"/>
      <c r="G894" s="125"/>
      <c r="H894" s="163"/>
      <c r="I894" s="126"/>
      <c r="J894" s="240"/>
      <c r="K894" s="242"/>
    </row>
    <row r="895">
      <c r="A895" s="121"/>
      <c r="B895" s="122"/>
      <c r="C895" s="163"/>
      <c r="D895" s="123"/>
      <c r="E895" s="123"/>
      <c r="F895" s="125"/>
      <c r="G895" s="125"/>
      <c r="H895" s="163"/>
      <c r="I895" s="126"/>
      <c r="J895" s="240"/>
      <c r="K895" s="242"/>
    </row>
    <row r="896">
      <c r="A896" s="121"/>
      <c r="B896" s="122"/>
      <c r="C896" s="163"/>
      <c r="D896" s="123"/>
      <c r="E896" s="123"/>
      <c r="F896" s="125"/>
      <c r="G896" s="125"/>
      <c r="H896" s="163"/>
      <c r="I896" s="126"/>
      <c r="J896" s="240"/>
      <c r="K896" s="242"/>
    </row>
    <row r="897">
      <c r="A897" s="121"/>
      <c r="B897" s="122"/>
      <c r="C897" s="163"/>
      <c r="D897" s="123"/>
      <c r="E897" s="123"/>
      <c r="F897" s="125"/>
      <c r="G897" s="125"/>
      <c r="H897" s="163"/>
      <c r="I897" s="126"/>
      <c r="J897" s="240"/>
      <c r="K897" s="242"/>
    </row>
    <row r="898">
      <c r="A898" s="121"/>
      <c r="B898" s="122"/>
      <c r="C898" s="163"/>
      <c r="D898" s="123"/>
      <c r="E898" s="123"/>
      <c r="F898" s="125"/>
      <c r="G898" s="125"/>
      <c r="H898" s="163"/>
      <c r="I898" s="126"/>
      <c r="J898" s="240"/>
      <c r="K898" s="242"/>
    </row>
    <row r="899">
      <c r="A899" s="121"/>
      <c r="B899" s="122"/>
      <c r="C899" s="163"/>
      <c r="D899" s="123"/>
      <c r="E899" s="123"/>
      <c r="F899" s="125"/>
      <c r="G899" s="125"/>
      <c r="H899" s="163"/>
      <c r="I899" s="126"/>
      <c r="J899" s="240"/>
      <c r="K899" s="242"/>
    </row>
    <row r="900">
      <c r="A900" s="121"/>
      <c r="B900" s="122"/>
      <c r="C900" s="163"/>
      <c r="D900" s="123"/>
      <c r="E900" s="123"/>
      <c r="F900" s="125"/>
      <c r="G900" s="125"/>
      <c r="H900" s="163"/>
      <c r="I900" s="126"/>
      <c r="J900" s="240"/>
      <c r="K900" s="242"/>
    </row>
    <row r="901">
      <c r="A901" s="121"/>
      <c r="B901" s="122"/>
      <c r="C901" s="163"/>
      <c r="D901" s="123"/>
      <c r="E901" s="123"/>
      <c r="F901" s="125"/>
      <c r="G901" s="125"/>
      <c r="H901" s="163"/>
      <c r="I901" s="126"/>
      <c r="J901" s="240"/>
      <c r="K901" s="242"/>
    </row>
    <row r="902">
      <c r="A902" s="121"/>
      <c r="B902" s="122"/>
      <c r="C902" s="163"/>
      <c r="D902" s="123"/>
      <c r="E902" s="123"/>
      <c r="F902" s="125"/>
      <c r="G902" s="125"/>
      <c r="H902" s="163"/>
      <c r="I902" s="126"/>
      <c r="J902" s="240"/>
      <c r="K902" s="242"/>
    </row>
    <row r="903">
      <c r="A903" s="121"/>
      <c r="B903" s="122"/>
      <c r="C903" s="163"/>
      <c r="D903" s="123"/>
      <c r="E903" s="123"/>
      <c r="F903" s="125"/>
      <c r="G903" s="125"/>
      <c r="H903" s="163"/>
      <c r="I903" s="126"/>
      <c r="J903" s="240"/>
      <c r="K903" s="242"/>
    </row>
    <row r="904">
      <c r="A904" s="121"/>
      <c r="B904" s="122"/>
      <c r="C904" s="163"/>
      <c r="D904" s="123"/>
      <c r="E904" s="123"/>
      <c r="F904" s="125"/>
      <c r="G904" s="125"/>
      <c r="H904" s="163"/>
      <c r="I904" s="126"/>
      <c r="J904" s="240"/>
      <c r="K904" s="242"/>
    </row>
    <row r="905">
      <c r="A905" s="121"/>
      <c r="B905" s="122"/>
      <c r="C905" s="163"/>
      <c r="D905" s="123"/>
      <c r="E905" s="123"/>
      <c r="F905" s="125"/>
      <c r="G905" s="125"/>
      <c r="H905" s="163"/>
      <c r="I905" s="126"/>
      <c r="J905" s="240"/>
      <c r="K905" s="242"/>
    </row>
    <row r="906">
      <c r="A906" s="121"/>
      <c r="B906" s="122"/>
      <c r="C906" s="163"/>
      <c r="D906" s="123"/>
      <c r="E906" s="123"/>
      <c r="F906" s="125"/>
      <c r="G906" s="125"/>
      <c r="H906" s="163"/>
      <c r="I906" s="126"/>
      <c r="J906" s="240"/>
      <c r="K906" s="242"/>
    </row>
    <row r="907">
      <c r="A907" s="121"/>
      <c r="B907" s="122"/>
      <c r="C907" s="163"/>
      <c r="D907" s="123"/>
      <c r="E907" s="123"/>
      <c r="F907" s="125"/>
      <c r="G907" s="125"/>
      <c r="H907" s="163"/>
      <c r="I907" s="126"/>
      <c r="J907" s="240"/>
      <c r="K907" s="242"/>
    </row>
    <row r="908">
      <c r="A908" s="121"/>
      <c r="B908" s="122"/>
      <c r="C908" s="163"/>
      <c r="D908" s="123"/>
      <c r="E908" s="123"/>
      <c r="F908" s="125"/>
      <c r="G908" s="125"/>
      <c r="H908" s="163"/>
      <c r="I908" s="126"/>
      <c r="J908" s="240"/>
      <c r="K908" s="242"/>
    </row>
    <row r="909">
      <c r="A909" s="121"/>
      <c r="B909" s="122"/>
      <c r="C909" s="163"/>
      <c r="D909" s="123"/>
      <c r="E909" s="123"/>
      <c r="F909" s="125"/>
      <c r="G909" s="125"/>
      <c r="H909" s="163"/>
      <c r="I909" s="126"/>
      <c r="J909" s="240"/>
      <c r="K909" s="242"/>
    </row>
    <row r="910">
      <c r="A910" s="121"/>
      <c r="B910" s="122"/>
      <c r="C910" s="163"/>
      <c r="D910" s="123"/>
      <c r="E910" s="123"/>
      <c r="F910" s="125"/>
      <c r="G910" s="125"/>
      <c r="H910" s="163"/>
      <c r="I910" s="126"/>
      <c r="J910" s="240"/>
      <c r="K910" s="242"/>
    </row>
    <row r="911">
      <c r="A911" s="121"/>
      <c r="B911" s="122"/>
      <c r="C911" s="163"/>
      <c r="D911" s="123"/>
      <c r="E911" s="123"/>
      <c r="F911" s="125"/>
      <c r="G911" s="125"/>
      <c r="H911" s="163"/>
      <c r="I911" s="126"/>
      <c r="J911" s="240"/>
      <c r="K911" s="242"/>
    </row>
    <row r="912">
      <c r="A912" s="121"/>
      <c r="B912" s="122"/>
      <c r="C912" s="163"/>
      <c r="D912" s="123"/>
      <c r="E912" s="123"/>
      <c r="F912" s="125"/>
      <c r="G912" s="125"/>
      <c r="H912" s="163"/>
      <c r="I912" s="126"/>
      <c r="J912" s="240"/>
      <c r="K912" s="242"/>
    </row>
    <row r="913">
      <c r="A913" s="121"/>
      <c r="B913" s="122"/>
      <c r="C913" s="163"/>
      <c r="D913" s="123"/>
      <c r="E913" s="123"/>
      <c r="F913" s="125"/>
      <c r="G913" s="125"/>
      <c r="H913" s="163"/>
      <c r="I913" s="126"/>
      <c r="J913" s="240"/>
      <c r="K913" s="242"/>
    </row>
    <row r="914">
      <c r="A914" s="121"/>
      <c r="B914" s="122"/>
      <c r="C914" s="163"/>
      <c r="D914" s="123"/>
      <c r="E914" s="123"/>
      <c r="F914" s="125"/>
      <c r="G914" s="125"/>
      <c r="H914" s="163"/>
      <c r="I914" s="126"/>
      <c r="J914" s="240"/>
      <c r="K914" s="242"/>
    </row>
    <row r="915">
      <c r="A915" s="121"/>
      <c r="B915" s="122"/>
      <c r="C915" s="163"/>
      <c r="D915" s="123"/>
      <c r="E915" s="123"/>
      <c r="F915" s="125"/>
      <c r="G915" s="125"/>
      <c r="H915" s="163"/>
      <c r="I915" s="126"/>
      <c r="J915" s="240"/>
      <c r="K915" s="242"/>
    </row>
    <row r="916">
      <c r="A916" s="121"/>
      <c r="B916" s="122"/>
      <c r="C916" s="163"/>
      <c r="D916" s="123"/>
      <c r="E916" s="123"/>
      <c r="F916" s="125"/>
      <c r="G916" s="125"/>
      <c r="H916" s="163"/>
      <c r="I916" s="126"/>
      <c r="J916" s="240"/>
      <c r="K916" s="242"/>
    </row>
    <row r="917">
      <c r="A917" s="121"/>
      <c r="B917" s="122"/>
      <c r="C917" s="163"/>
      <c r="D917" s="123"/>
      <c r="E917" s="123"/>
      <c r="F917" s="125"/>
      <c r="G917" s="125"/>
      <c r="H917" s="163"/>
      <c r="I917" s="126"/>
      <c r="J917" s="240"/>
      <c r="K917" s="242"/>
    </row>
    <row r="918">
      <c r="A918" s="121"/>
      <c r="B918" s="122"/>
      <c r="C918" s="163"/>
      <c r="D918" s="123"/>
      <c r="E918" s="123"/>
      <c r="F918" s="125"/>
      <c r="G918" s="125"/>
      <c r="H918" s="163"/>
      <c r="I918" s="126"/>
      <c r="J918" s="240"/>
      <c r="K918" s="242"/>
    </row>
    <row r="919">
      <c r="A919" s="121"/>
      <c r="B919" s="122"/>
      <c r="C919" s="163"/>
      <c r="D919" s="123"/>
      <c r="E919" s="123"/>
      <c r="F919" s="125"/>
      <c r="G919" s="125"/>
      <c r="H919" s="163"/>
      <c r="I919" s="126"/>
      <c r="J919" s="240"/>
      <c r="K919" s="242"/>
    </row>
    <row r="920">
      <c r="A920" s="121"/>
      <c r="B920" s="122"/>
      <c r="C920" s="163"/>
      <c r="D920" s="123"/>
      <c r="E920" s="123"/>
      <c r="F920" s="125"/>
      <c r="G920" s="125"/>
      <c r="H920" s="163"/>
      <c r="I920" s="126"/>
      <c r="J920" s="240"/>
      <c r="K920" s="242"/>
    </row>
    <row r="921">
      <c r="A921" s="121"/>
      <c r="B921" s="122"/>
      <c r="C921" s="163"/>
      <c r="D921" s="123"/>
      <c r="E921" s="123"/>
      <c r="F921" s="125"/>
      <c r="G921" s="125"/>
      <c r="H921" s="163"/>
      <c r="I921" s="126"/>
      <c r="J921" s="240"/>
      <c r="K921" s="242"/>
    </row>
    <row r="922">
      <c r="A922" s="121"/>
      <c r="B922" s="122"/>
      <c r="C922" s="163"/>
      <c r="D922" s="123"/>
      <c r="E922" s="123"/>
      <c r="F922" s="125"/>
      <c r="G922" s="125"/>
      <c r="H922" s="163"/>
      <c r="I922" s="126"/>
      <c r="J922" s="240"/>
      <c r="K922" s="242"/>
    </row>
    <row r="923">
      <c r="A923" s="121"/>
      <c r="B923" s="122"/>
      <c r="C923" s="163"/>
      <c r="D923" s="123"/>
      <c r="E923" s="123"/>
      <c r="F923" s="125"/>
      <c r="G923" s="125"/>
      <c r="H923" s="163"/>
      <c r="I923" s="126"/>
      <c r="J923" s="240"/>
      <c r="K923" s="242"/>
    </row>
    <row r="924">
      <c r="A924" s="121"/>
      <c r="B924" s="122"/>
      <c r="C924" s="163"/>
      <c r="D924" s="123"/>
      <c r="E924" s="123"/>
      <c r="F924" s="125"/>
      <c r="G924" s="125"/>
      <c r="H924" s="163"/>
      <c r="I924" s="126"/>
      <c r="J924" s="240"/>
      <c r="K924" s="242"/>
    </row>
    <row r="925">
      <c r="A925" s="121"/>
      <c r="B925" s="122"/>
      <c r="C925" s="163"/>
      <c r="D925" s="123"/>
      <c r="E925" s="123"/>
      <c r="F925" s="125"/>
      <c r="G925" s="125"/>
      <c r="H925" s="163"/>
      <c r="I925" s="126"/>
      <c r="J925" s="240"/>
      <c r="K925" s="242"/>
    </row>
    <row r="926">
      <c r="A926" s="121"/>
      <c r="B926" s="122"/>
      <c r="C926" s="163"/>
      <c r="D926" s="123"/>
      <c r="E926" s="123"/>
      <c r="F926" s="125"/>
      <c r="G926" s="125"/>
      <c r="H926" s="163"/>
      <c r="I926" s="126"/>
      <c r="J926" s="240"/>
      <c r="K926" s="242"/>
    </row>
    <row r="927">
      <c r="A927" s="121"/>
      <c r="B927" s="122"/>
      <c r="C927" s="163"/>
      <c r="D927" s="123"/>
      <c r="E927" s="123"/>
      <c r="F927" s="125"/>
      <c r="G927" s="125"/>
      <c r="H927" s="163"/>
      <c r="I927" s="126"/>
      <c r="J927" s="240"/>
      <c r="K927" s="242"/>
    </row>
    <row r="928">
      <c r="A928" s="121"/>
      <c r="B928" s="122"/>
      <c r="C928" s="163"/>
      <c r="D928" s="123"/>
      <c r="E928" s="123"/>
      <c r="F928" s="125"/>
      <c r="G928" s="125"/>
      <c r="H928" s="163"/>
      <c r="I928" s="126"/>
      <c r="J928" s="240"/>
      <c r="K928" s="242"/>
    </row>
    <row r="929">
      <c r="A929" s="121"/>
      <c r="B929" s="122"/>
      <c r="C929" s="163"/>
      <c r="D929" s="123"/>
      <c r="E929" s="123"/>
      <c r="F929" s="125"/>
      <c r="G929" s="125"/>
      <c r="H929" s="163"/>
      <c r="I929" s="126"/>
      <c r="J929" s="240"/>
      <c r="K929" s="242"/>
    </row>
    <row r="930">
      <c r="A930" s="121"/>
      <c r="B930" s="122"/>
      <c r="C930" s="163"/>
      <c r="D930" s="123"/>
      <c r="E930" s="123"/>
      <c r="F930" s="125"/>
      <c r="G930" s="125"/>
      <c r="H930" s="163"/>
      <c r="I930" s="126"/>
      <c r="J930" s="240"/>
      <c r="K930" s="242"/>
    </row>
    <row r="931">
      <c r="A931" s="121"/>
      <c r="B931" s="122"/>
      <c r="C931" s="163"/>
      <c r="D931" s="123"/>
      <c r="E931" s="123"/>
      <c r="F931" s="125"/>
      <c r="G931" s="125"/>
      <c r="H931" s="163"/>
      <c r="I931" s="126"/>
      <c r="J931" s="240"/>
      <c r="K931" s="242"/>
    </row>
    <row r="932">
      <c r="A932" s="121"/>
      <c r="B932" s="122"/>
      <c r="C932" s="163"/>
      <c r="D932" s="123"/>
      <c r="E932" s="123"/>
      <c r="F932" s="125"/>
      <c r="G932" s="125"/>
      <c r="H932" s="163"/>
      <c r="I932" s="126"/>
      <c r="J932" s="240"/>
      <c r="K932" s="242"/>
    </row>
    <row r="933">
      <c r="A933" s="121"/>
      <c r="B933" s="122"/>
      <c r="C933" s="163"/>
      <c r="D933" s="123"/>
      <c r="E933" s="123"/>
      <c r="F933" s="125"/>
      <c r="G933" s="125"/>
      <c r="H933" s="163"/>
      <c r="I933" s="126"/>
      <c r="J933" s="240"/>
      <c r="K933" s="242"/>
    </row>
    <row r="934">
      <c r="A934" s="121"/>
      <c r="B934" s="122"/>
      <c r="C934" s="163"/>
      <c r="D934" s="123"/>
      <c r="E934" s="123"/>
      <c r="F934" s="125"/>
      <c r="G934" s="125"/>
      <c r="H934" s="163"/>
      <c r="I934" s="126"/>
      <c r="J934" s="240"/>
      <c r="K934" s="242"/>
    </row>
    <row r="935">
      <c r="A935" s="121"/>
      <c r="B935" s="122"/>
      <c r="C935" s="163"/>
      <c r="D935" s="123"/>
      <c r="E935" s="123"/>
      <c r="F935" s="125"/>
      <c r="G935" s="125"/>
      <c r="H935" s="163"/>
      <c r="I935" s="126"/>
      <c r="J935" s="240"/>
      <c r="K935" s="242"/>
    </row>
    <row r="936">
      <c r="A936" s="121"/>
      <c r="B936" s="122"/>
      <c r="C936" s="163"/>
      <c r="D936" s="123"/>
      <c r="E936" s="123"/>
      <c r="F936" s="125"/>
      <c r="G936" s="125"/>
      <c r="H936" s="163"/>
      <c r="I936" s="126"/>
      <c r="J936" s="240"/>
      <c r="K936" s="242"/>
    </row>
    <row r="937">
      <c r="A937" s="121"/>
      <c r="B937" s="122"/>
      <c r="C937" s="163"/>
      <c r="D937" s="123"/>
      <c r="E937" s="123"/>
      <c r="F937" s="125"/>
      <c r="G937" s="125"/>
      <c r="H937" s="163"/>
      <c r="I937" s="126"/>
      <c r="J937" s="240"/>
      <c r="K937" s="242"/>
    </row>
    <row r="938">
      <c r="A938" s="121"/>
      <c r="B938" s="122"/>
      <c r="C938" s="163"/>
      <c r="D938" s="123"/>
      <c r="E938" s="123"/>
      <c r="F938" s="125"/>
      <c r="G938" s="125"/>
      <c r="H938" s="163"/>
      <c r="I938" s="126"/>
      <c r="J938" s="240"/>
      <c r="K938" s="242"/>
    </row>
    <row r="939">
      <c r="A939" s="121"/>
      <c r="B939" s="122"/>
      <c r="C939" s="163"/>
      <c r="D939" s="123"/>
      <c r="E939" s="123"/>
      <c r="F939" s="125"/>
      <c r="G939" s="125"/>
      <c r="H939" s="163"/>
      <c r="I939" s="126"/>
      <c r="J939" s="240"/>
      <c r="K939" s="242"/>
    </row>
    <row r="940">
      <c r="A940" s="121"/>
      <c r="B940" s="122"/>
      <c r="C940" s="163"/>
      <c r="D940" s="123"/>
      <c r="E940" s="123"/>
      <c r="F940" s="125"/>
      <c r="G940" s="125"/>
      <c r="H940" s="163"/>
      <c r="I940" s="126"/>
      <c r="J940" s="240"/>
      <c r="K940" s="242"/>
    </row>
    <row r="941">
      <c r="A941" s="121"/>
      <c r="B941" s="122"/>
      <c r="C941" s="163"/>
      <c r="D941" s="123"/>
      <c r="E941" s="123"/>
      <c r="F941" s="125"/>
      <c r="G941" s="125"/>
      <c r="H941" s="163"/>
      <c r="I941" s="126"/>
      <c r="J941" s="240"/>
      <c r="K941" s="242"/>
    </row>
    <row r="942">
      <c r="A942" s="121"/>
      <c r="B942" s="122"/>
      <c r="C942" s="163"/>
      <c r="D942" s="123"/>
      <c r="E942" s="123"/>
      <c r="F942" s="125"/>
      <c r="G942" s="125"/>
      <c r="H942" s="163"/>
      <c r="I942" s="126"/>
      <c r="J942" s="240"/>
      <c r="K942" s="242"/>
    </row>
    <row r="943">
      <c r="A943" s="121"/>
      <c r="B943" s="122"/>
      <c r="C943" s="163"/>
      <c r="D943" s="123"/>
      <c r="E943" s="123"/>
      <c r="F943" s="125"/>
      <c r="G943" s="125"/>
      <c r="H943" s="163"/>
      <c r="I943" s="126"/>
      <c r="J943" s="240"/>
      <c r="K943" s="242"/>
    </row>
    <row r="944">
      <c r="A944" s="121"/>
      <c r="B944" s="122"/>
      <c r="C944" s="163"/>
      <c r="D944" s="123"/>
      <c r="E944" s="123"/>
      <c r="F944" s="125"/>
      <c r="G944" s="125"/>
      <c r="H944" s="163"/>
      <c r="I944" s="126"/>
      <c r="J944" s="240"/>
      <c r="K944" s="242"/>
    </row>
    <row r="945">
      <c r="A945" s="121"/>
      <c r="B945" s="122"/>
      <c r="C945" s="163"/>
      <c r="D945" s="123"/>
      <c r="E945" s="123"/>
      <c r="F945" s="125"/>
      <c r="G945" s="125"/>
      <c r="H945" s="163"/>
      <c r="I945" s="126"/>
      <c r="J945" s="240"/>
      <c r="K945" s="242"/>
    </row>
    <row r="946">
      <c r="A946" s="121"/>
      <c r="B946" s="122"/>
      <c r="C946" s="163"/>
      <c r="D946" s="123"/>
      <c r="E946" s="123"/>
      <c r="F946" s="125"/>
      <c r="G946" s="125"/>
      <c r="H946" s="163"/>
      <c r="I946" s="126"/>
      <c r="J946" s="240"/>
      <c r="K946" s="242"/>
    </row>
    <row r="947">
      <c r="A947" s="121"/>
      <c r="B947" s="122"/>
      <c r="C947" s="163"/>
      <c r="D947" s="123"/>
      <c r="E947" s="123"/>
      <c r="F947" s="125"/>
      <c r="G947" s="125"/>
      <c r="H947" s="163"/>
      <c r="I947" s="126"/>
      <c r="J947" s="240"/>
      <c r="K947" s="242"/>
    </row>
    <row r="948">
      <c r="A948" s="121"/>
      <c r="B948" s="122"/>
      <c r="C948" s="163"/>
      <c r="D948" s="123"/>
      <c r="E948" s="123"/>
      <c r="F948" s="125"/>
      <c r="G948" s="125"/>
      <c r="H948" s="163"/>
      <c r="I948" s="126"/>
      <c r="J948" s="240"/>
      <c r="K948" s="242"/>
    </row>
    <row r="949">
      <c r="A949" s="121"/>
      <c r="B949" s="122"/>
      <c r="C949" s="163"/>
      <c r="D949" s="123"/>
      <c r="E949" s="123"/>
      <c r="F949" s="125"/>
      <c r="G949" s="125"/>
      <c r="H949" s="163"/>
      <c r="I949" s="126"/>
      <c r="J949" s="240"/>
      <c r="K949" s="242"/>
    </row>
    <row r="950">
      <c r="A950" s="121"/>
      <c r="B950" s="122"/>
      <c r="C950" s="163"/>
      <c r="D950" s="123"/>
      <c r="E950" s="123"/>
      <c r="F950" s="125"/>
      <c r="G950" s="125"/>
      <c r="H950" s="163"/>
      <c r="I950" s="126"/>
      <c r="J950" s="240"/>
      <c r="K950" s="242"/>
    </row>
    <row r="951">
      <c r="A951" s="121"/>
      <c r="B951" s="122"/>
      <c r="C951" s="163"/>
      <c r="D951" s="123"/>
      <c r="E951" s="123"/>
      <c r="F951" s="125"/>
      <c r="G951" s="125"/>
      <c r="H951" s="163"/>
      <c r="I951" s="126"/>
      <c r="J951" s="240"/>
      <c r="K951" s="242"/>
    </row>
    <row r="952">
      <c r="A952" s="121"/>
      <c r="B952" s="122"/>
      <c r="C952" s="163"/>
      <c r="D952" s="123"/>
      <c r="E952" s="123"/>
      <c r="F952" s="125"/>
      <c r="G952" s="125"/>
      <c r="H952" s="163"/>
      <c r="I952" s="126"/>
      <c r="J952" s="240"/>
      <c r="K952" s="242"/>
    </row>
    <row r="953">
      <c r="A953" s="121"/>
      <c r="B953" s="122"/>
      <c r="C953" s="163"/>
      <c r="D953" s="123"/>
      <c r="E953" s="123"/>
      <c r="F953" s="125"/>
      <c r="G953" s="125"/>
      <c r="H953" s="163"/>
      <c r="I953" s="126"/>
      <c r="J953" s="240"/>
      <c r="K953" s="242"/>
    </row>
    <row r="954">
      <c r="A954" s="121"/>
      <c r="B954" s="122"/>
      <c r="C954" s="163"/>
      <c r="D954" s="123"/>
      <c r="E954" s="123"/>
      <c r="F954" s="125"/>
      <c r="G954" s="125"/>
      <c r="H954" s="163"/>
      <c r="I954" s="126"/>
      <c r="J954" s="240"/>
      <c r="K954" s="242"/>
    </row>
    <row r="955">
      <c r="A955" s="121"/>
      <c r="B955" s="122"/>
      <c r="C955" s="163"/>
      <c r="D955" s="123"/>
      <c r="E955" s="123"/>
      <c r="F955" s="125"/>
      <c r="G955" s="125"/>
      <c r="H955" s="163"/>
      <c r="I955" s="126"/>
      <c r="J955" s="240"/>
      <c r="K955" s="242"/>
    </row>
    <row r="956">
      <c r="A956" s="121"/>
      <c r="B956" s="122"/>
      <c r="C956" s="163"/>
      <c r="D956" s="123"/>
      <c r="E956" s="123"/>
      <c r="F956" s="125"/>
      <c r="G956" s="125"/>
      <c r="H956" s="163"/>
      <c r="I956" s="126"/>
      <c r="J956" s="240"/>
      <c r="K956" s="242"/>
    </row>
    <row r="957">
      <c r="A957" s="121"/>
      <c r="B957" s="122"/>
      <c r="C957" s="163"/>
      <c r="D957" s="123"/>
      <c r="E957" s="123"/>
      <c r="F957" s="125"/>
      <c r="G957" s="125"/>
      <c r="H957" s="163"/>
      <c r="I957" s="126"/>
      <c r="J957" s="240"/>
      <c r="K957" s="242"/>
    </row>
    <row r="958">
      <c r="A958" s="121"/>
      <c r="B958" s="122"/>
      <c r="C958" s="163"/>
      <c r="D958" s="123"/>
      <c r="E958" s="123"/>
      <c r="F958" s="125"/>
      <c r="G958" s="125"/>
      <c r="H958" s="163"/>
      <c r="I958" s="126"/>
      <c r="J958" s="240"/>
      <c r="K958" s="242"/>
    </row>
    <row r="959">
      <c r="A959" s="121"/>
      <c r="B959" s="122"/>
      <c r="C959" s="163"/>
      <c r="D959" s="123"/>
      <c r="E959" s="123"/>
      <c r="F959" s="125"/>
      <c r="G959" s="125"/>
      <c r="H959" s="163"/>
      <c r="I959" s="126"/>
      <c r="J959" s="240"/>
      <c r="K959" s="242"/>
    </row>
    <row r="960">
      <c r="A960" s="121"/>
      <c r="B960" s="122"/>
      <c r="C960" s="163"/>
      <c r="D960" s="123"/>
      <c r="E960" s="123"/>
      <c r="F960" s="125"/>
      <c r="G960" s="125"/>
      <c r="H960" s="163"/>
      <c r="I960" s="126"/>
      <c r="J960" s="240"/>
      <c r="K960" s="242"/>
    </row>
    <row r="961">
      <c r="A961" s="121"/>
      <c r="B961" s="122"/>
      <c r="C961" s="163"/>
      <c r="D961" s="123"/>
      <c r="E961" s="123"/>
      <c r="F961" s="125"/>
      <c r="G961" s="125"/>
      <c r="H961" s="163"/>
      <c r="I961" s="126"/>
      <c r="J961" s="240"/>
      <c r="K961" s="242"/>
    </row>
    <row r="962">
      <c r="A962" s="121"/>
      <c r="B962" s="122"/>
      <c r="C962" s="163"/>
      <c r="D962" s="123"/>
      <c r="E962" s="123"/>
      <c r="F962" s="125"/>
      <c r="G962" s="125"/>
      <c r="H962" s="163"/>
      <c r="I962" s="126"/>
      <c r="J962" s="240"/>
      <c r="K962" s="242"/>
    </row>
    <row r="963">
      <c r="A963" s="121"/>
      <c r="B963" s="122"/>
      <c r="C963" s="163"/>
      <c r="D963" s="123"/>
      <c r="E963" s="123"/>
      <c r="F963" s="125"/>
      <c r="G963" s="125"/>
      <c r="H963" s="163"/>
      <c r="I963" s="126"/>
      <c r="J963" s="240"/>
      <c r="K963" s="242"/>
    </row>
    <row r="964">
      <c r="A964" s="121"/>
      <c r="B964" s="122"/>
      <c r="C964" s="163"/>
      <c r="D964" s="123"/>
      <c r="E964" s="123"/>
      <c r="F964" s="125"/>
      <c r="G964" s="125"/>
      <c r="H964" s="163"/>
      <c r="I964" s="126"/>
      <c r="J964" s="240"/>
      <c r="K964" s="242"/>
    </row>
    <row r="965">
      <c r="A965" s="121"/>
      <c r="B965" s="122"/>
      <c r="C965" s="163"/>
      <c r="D965" s="123"/>
      <c r="E965" s="123"/>
      <c r="F965" s="125"/>
      <c r="G965" s="125"/>
      <c r="H965" s="163"/>
      <c r="I965" s="126"/>
      <c r="J965" s="240"/>
      <c r="K965" s="242"/>
    </row>
    <row r="966">
      <c r="A966" s="121"/>
      <c r="B966" s="122"/>
      <c r="C966" s="163"/>
      <c r="D966" s="123"/>
      <c r="E966" s="123"/>
      <c r="F966" s="125"/>
      <c r="G966" s="125"/>
      <c r="H966" s="163"/>
      <c r="I966" s="126"/>
      <c r="J966" s="240"/>
      <c r="K966" s="242"/>
    </row>
    <row r="967">
      <c r="A967" s="121"/>
      <c r="B967" s="122"/>
      <c r="C967" s="163"/>
      <c r="D967" s="123"/>
      <c r="E967" s="123"/>
      <c r="F967" s="125"/>
      <c r="G967" s="125"/>
      <c r="H967" s="163"/>
      <c r="I967" s="126"/>
      <c r="J967" s="240"/>
      <c r="K967" s="242"/>
    </row>
    <row r="968">
      <c r="A968" s="121"/>
      <c r="B968" s="122"/>
      <c r="C968" s="163"/>
      <c r="D968" s="123"/>
      <c r="E968" s="123"/>
      <c r="F968" s="125"/>
      <c r="G968" s="125"/>
      <c r="H968" s="163"/>
      <c r="I968" s="126"/>
      <c r="J968" s="240"/>
      <c r="K968" s="242"/>
    </row>
    <row r="969">
      <c r="A969" s="121"/>
      <c r="B969" s="122"/>
      <c r="C969" s="163"/>
      <c r="D969" s="123"/>
      <c r="E969" s="123"/>
      <c r="F969" s="125"/>
      <c r="G969" s="125"/>
      <c r="H969" s="163"/>
      <c r="I969" s="126"/>
      <c r="J969" s="240"/>
      <c r="K969" s="242"/>
    </row>
    <row r="970">
      <c r="A970" s="121"/>
      <c r="B970" s="122"/>
      <c r="C970" s="163"/>
      <c r="D970" s="123"/>
      <c r="E970" s="123"/>
      <c r="F970" s="125"/>
      <c r="G970" s="125"/>
      <c r="H970" s="163"/>
      <c r="I970" s="126"/>
      <c r="J970" s="240"/>
      <c r="K970" s="242"/>
    </row>
    <row r="971">
      <c r="A971" s="121"/>
      <c r="B971" s="122"/>
      <c r="C971" s="163"/>
      <c r="D971" s="123"/>
      <c r="E971" s="123"/>
      <c r="F971" s="125"/>
      <c r="G971" s="125"/>
      <c r="H971" s="163"/>
      <c r="I971" s="126"/>
      <c r="J971" s="240"/>
      <c r="K971" s="242"/>
    </row>
    <row r="972">
      <c r="A972" s="121"/>
      <c r="B972" s="122"/>
      <c r="C972" s="163"/>
      <c r="D972" s="123"/>
      <c r="E972" s="123"/>
      <c r="F972" s="125"/>
      <c r="G972" s="125"/>
      <c r="H972" s="163"/>
      <c r="I972" s="126"/>
      <c r="J972" s="240"/>
      <c r="K972" s="242"/>
    </row>
    <row r="973">
      <c r="A973" s="121"/>
      <c r="B973" s="122"/>
      <c r="C973" s="163"/>
      <c r="D973" s="123"/>
      <c r="E973" s="123"/>
      <c r="F973" s="125"/>
      <c r="G973" s="125"/>
      <c r="H973" s="163"/>
      <c r="I973" s="126"/>
      <c r="J973" s="240"/>
      <c r="K973" s="242"/>
    </row>
    <row r="974">
      <c r="A974" s="121"/>
      <c r="B974" s="122"/>
      <c r="C974" s="163"/>
      <c r="D974" s="123"/>
      <c r="E974" s="123"/>
      <c r="F974" s="125"/>
      <c r="G974" s="125"/>
      <c r="H974" s="163"/>
      <c r="I974" s="126"/>
      <c r="J974" s="240"/>
      <c r="K974" s="242"/>
    </row>
    <row r="975">
      <c r="A975" s="121"/>
      <c r="B975" s="122"/>
      <c r="C975" s="163"/>
      <c r="D975" s="123"/>
      <c r="E975" s="123"/>
      <c r="F975" s="125"/>
      <c r="G975" s="125"/>
      <c r="H975" s="163"/>
      <c r="I975" s="126"/>
      <c r="J975" s="240"/>
      <c r="K975" s="242"/>
    </row>
    <row r="976">
      <c r="A976" s="121"/>
      <c r="B976" s="122"/>
      <c r="C976" s="163"/>
      <c r="D976" s="123"/>
      <c r="E976" s="123"/>
      <c r="F976" s="125"/>
      <c r="G976" s="125"/>
      <c r="H976" s="163"/>
      <c r="I976" s="126"/>
      <c r="J976" s="240"/>
      <c r="K976" s="242"/>
    </row>
    <row r="977">
      <c r="A977" s="121"/>
      <c r="B977" s="122"/>
      <c r="C977" s="163"/>
      <c r="D977" s="123"/>
      <c r="E977" s="123"/>
      <c r="F977" s="125"/>
      <c r="G977" s="125"/>
      <c r="H977" s="163"/>
      <c r="I977" s="126"/>
      <c r="J977" s="240"/>
      <c r="K977" s="242"/>
    </row>
    <row r="978">
      <c r="A978" s="121"/>
      <c r="B978" s="122"/>
      <c r="C978" s="163"/>
      <c r="D978" s="123"/>
      <c r="E978" s="123"/>
      <c r="F978" s="125"/>
      <c r="G978" s="125"/>
      <c r="H978" s="163"/>
      <c r="I978" s="126"/>
      <c r="J978" s="240"/>
      <c r="K978" s="242"/>
    </row>
    <row r="979">
      <c r="A979" s="121"/>
      <c r="B979" s="122"/>
      <c r="C979" s="163"/>
      <c r="D979" s="123"/>
      <c r="E979" s="123"/>
      <c r="F979" s="125"/>
      <c r="G979" s="125"/>
      <c r="H979" s="163"/>
      <c r="I979" s="126"/>
      <c r="J979" s="240"/>
      <c r="K979" s="242"/>
    </row>
    <row r="980">
      <c r="A980" s="121"/>
      <c r="B980" s="122"/>
      <c r="C980" s="163"/>
      <c r="D980" s="123"/>
      <c r="E980" s="123"/>
      <c r="F980" s="125"/>
      <c r="G980" s="125"/>
      <c r="H980" s="163"/>
      <c r="I980" s="126"/>
      <c r="J980" s="240"/>
      <c r="K980" s="242"/>
    </row>
    <row r="981">
      <c r="A981" s="121"/>
      <c r="B981" s="122"/>
      <c r="C981" s="163"/>
      <c r="D981" s="123"/>
      <c r="E981" s="123"/>
      <c r="F981" s="125"/>
      <c r="G981" s="125"/>
      <c r="H981" s="163"/>
      <c r="I981" s="126"/>
      <c r="J981" s="240"/>
      <c r="K981" s="242"/>
    </row>
    <row r="982">
      <c r="A982" s="121"/>
      <c r="B982" s="122"/>
      <c r="C982" s="163"/>
      <c r="D982" s="123"/>
      <c r="E982" s="123"/>
      <c r="F982" s="125"/>
      <c r="G982" s="125"/>
      <c r="H982" s="163"/>
      <c r="I982" s="126"/>
      <c r="J982" s="240"/>
      <c r="K982" s="242"/>
    </row>
    <row r="983">
      <c r="A983" s="121"/>
      <c r="B983" s="122"/>
      <c r="C983" s="163"/>
      <c r="D983" s="123"/>
      <c r="E983" s="123"/>
      <c r="F983" s="125"/>
      <c r="G983" s="125"/>
      <c r="H983" s="163"/>
      <c r="I983" s="126"/>
      <c r="J983" s="240"/>
      <c r="K983" s="242"/>
    </row>
    <row r="984">
      <c r="A984" s="121"/>
      <c r="B984" s="122"/>
      <c r="C984" s="163"/>
      <c r="D984" s="123"/>
      <c r="E984" s="123"/>
      <c r="F984" s="125"/>
      <c r="G984" s="125"/>
      <c r="H984" s="163"/>
      <c r="I984" s="126"/>
      <c r="J984" s="240"/>
      <c r="K984" s="242"/>
    </row>
    <row r="985">
      <c r="A985" s="121"/>
      <c r="B985" s="122"/>
      <c r="C985" s="163"/>
      <c r="D985" s="123"/>
      <c r="E985" s="123"/>
      <c r="F985" s="125"/>
      <c r="G985" s="125"/>
      <c r="H985" s="163"/>
      <c r="I985" s="126"/>
      <c r="J985" s="240"/>
      <c r="K985" s="242"/>
    </row>
    <row r="986">
      <c r="A986" s="121"/>
      <c r="B986" s="122"/>
      <c r="C986" s="163"/>
      <c r="D986" s="123"/>
      <c r="E986" s="123"/>
      <c r="F986" s="125"/>
      <c r="G986" s="125"/>
      <c r="H986" s="163"/>
      <c r="I986" s="126"/>
      <c r="J986" s="240"/>
      <c r="K986" s="242"/>
    </row>
    <row r="987">
      <c r="A987" s="121"/>
      <c r="B987" s="122"/>
      <c r="C987" s="163"/>
      <c r="D987" s="123"/>
      <c r="E987" s="123"/>
      <c r="F987" s="125"/>
      <c r="G987" s="125"/>
      <c r="H987" s="163"/>
      <c r="I987" s="126"/>
      <c r="J987" s="240"/>
      <c r="K987" s="242"/>
    </row>
    <row r="988">
      <c r="A988" s="121"/>
      <c r="B988" s="122"/>
      <c r="C988" s="163"/>
      <c r="D988" s="123"/>
      <c r="E988" s="123"/>
      <c r="F988" s="125"/>
      <c r="G988" s="125"/>
      <c r="H988" s="163"/>
      <c r="I988" s="126"/>
      <c r="J988" s="240"/>
      <c r="K988" s="242"/>
    </row>
    <row r="989">
      <c r="A989" s="121"/>
      <c r="B989" s="122"/>
      <c r="C989" s="163"/>
      <c r="D989" s="123"/>
      <c r="E989" s="123"/>
      <c r="F989" s="125"/>
      <c r="G989" s="125"/>
      <c r="H989" s="163"/>
      <c r="I989" s="126"/>
      <c r="J989" s="240"/>
      <c r="K989" s="242"/>
    </row>
    <row r="990">
      <c r="A990" s="121"/>
      <c r="B990" s="122"/>
      <c r="C990" s="163"/>
      <c r="D990" s="123"/>
      <c r="E990" s="123"/>
      <c r="F990" s="125"/>
      <c r="G990" s="125"/>
      <c r="H990" s="163"/>
      <c r="I990" s="126"/>
      <c r="J990" s="240"/>
      <c r="K990" s="242"/>
    </row>
    <row r="991">
      <c r="A991" s="121"/>
      <c r="B991" s="122"/>
      <c r="C991" s="163"/>
      <c r="D991" s="123"/>
      <c r="E991" s="123"/>
      <c r="F991" s="125"/>
      <c r="G991" s="125"/>
      <c r="H991" s="163"/>
      <c r="I991" s="126"/>
      <c r="J991" s="240"/>
      <c r="K991" s="242"/>
    </row>
    <row r="992">
      <c r="A992" s="121"/>
      <c r="B992" s="122"/>
      <c r="C992" s="163"/>
      <c r="D992" s="123"/>
      <c r="E992" s="123"/>
      <c r="F992" s="125"/>
      <c r="G992" s="125"/>
      <c r="H992" s="163"/>
      <c r="I992" s="126"/>
      <c r="J992" s="240"/>
      <c r="K992" s="242"/>
    </row>
    <row r="993">
      <c r="A993" s="121"/>
      <c r="B993" s="122"/>
      <c r="C993" s="163"/>
      <c r="D993" s="123"/>
      <c r="E993" s="123"/>
      <c r="F993" s="125"/>
      <c r="G993" s="125"/>
      <c r="H993" s="163"/>
      <c r="I993" s="126"/>
      <c r="J993" s="240"/>
      <c r="K993" s="242"/>
    </row>
    <row r="994">
      <c r="A994" s="121"/>
      <c r="B994" s="122"/>
      <c r="C994" s="163"/>
      <c r="D994" s="123"/>
      <c r="E994" s="123"/>
      <c r="F994" s="125"/>
      <c r="G994" s="125"/>
      <c r="H994" s="163"/>
      <c r="I994" s="126"/>
      <c r="J994" s="240"/>
      <c r="K994" s="242"/>
    </row>
    <row r="995">
      <c r="A995" s="121"/>
      <c r="B995" s="122"/>
      <c r="C995" s="163"/>
      <c r="D995" s="123"/>
      <c r="E995" s="123"/>
      <c r="F995" s="125"/>
      <c r="G995" s="125"/>
      <c r="H995" s="163"/>
      <c r="I995" s="126"/>
      <c r="J995" s="240"/>
      <c r="K995" s="242"/>
    </row>
    <row r="996">
      <c r="A996" s="121"/>
      <c r="B996" s="122"/>
      <c r="C996" s="163"/>
      <c r="D996" s="123"/>
      <c r="E996" s="123"/>
      <c r="F996" s="125"/>
      <c r="G996" s="125"/>
      <c r="H996" s="163"/>
      <c r="I996" s="126"/>
      <c r="J996" s="240"/>
      <c r="K996" s="242"/>
    </row>
    <row r="997">
      <c r="A997" s="121"/>
      <c r="B997" s="122"/>
      <c r="C997" s="163"/>
      <c r="D997" s="123"/>
      <c r="E997" s="123"/>
      <c r="F997" s="125"/>
      <c r="G997" s="125"/>
      <c r="H997" s="163"/>
      <c r="I997" s="126"/>
      <c r="J997" s="240"/>
      <c r="K997" s="242"/>
    </row>
    <row r="998">
      <c r="A998" s="121"/>
      <c r="B998" s="122"/>
      <c r="C998" s="163"/>
      <c r="D998" s="123"/>
      <c r="E998" s="123"/>
      <c r="F998" s="125"/>
      <c r="G998" s="125"/>
      <c r="H998" s="163"/>
      <c r="I998" s="126"/>
      <c r="J998" s="240"/>
      <c r="K998" s="242"/>
    </row>
    <row r="999">
      <c r="A999" s="121"/>
      <c r="B999" s="122"/>
      <c r="C999" s="163"/>
      <c r="D999" s="123"/>
      <c r="E999" s="123"/>
      <c r="F999" s="125"/>
      <c r="G999" s="125"/>
      <c r="H999" s="163"/>
      <c r="I999" s="126"/>
      <c r="J999" s="240"/>
      <c r="K999" s="242"/>
    </row>
    <row r="1000">
      <c r="A1000" s="121"/>
      <c r="B1000" s="122"/>
      <c r="C1000" s="163"/>
      <c r="D1000" s="123"/>
      <c r="E1000" s="123"/>
      <c r="F1000" s="125"/>
      <c r="G1000" s="125"/>
      <c r="H1000" s="163"/>
      <c r="I1000" s="126"/>
      <c r="J1000" s="240"/>
      <c r="K1000" s="242"/>
    </row>
  </sheetData>
  <autoFilter ref="$A$4:$K$45"/>
  <customSheetViews>
    <customSheetView guid="{AE12009C-ACD1-4246-A326-D573D205DE1C}" filter="1" showAutoFilter="1">
      <autoFilter ref="$B$1:$L$1"/>
    </customSheetView>
  </customSheetViews>
  <mergeCells count="25">
    <mergeCell ref="A1:K1"/>
    <mergeCell ref="A5:A9"/>
    <mergeCell ref="B5:B6"/>
    <mergeCell ref="C7:H7"/>
    <mergeCell ref="B8:B9"/>
    <mergeCell ref="A10:A11"/>
    <mergeCell ref="C11:H11"/>
    <mergeCell ref="B22:B33"/>
    <mergeCell ref="B34:B35"/>
    <mergeCell ref="C36:H36"/>
    <mergeCell ref="C37:H37"/>
    <mergeCell ref="C38:H38"/>
    <mergeCell ref="C39:H39"/>
    <mergeCell ref="C44:H44"/>
    <mergeCell ref="C45:H45"/>
    <mergeCell ref="A37:A40"/>
    <mergeCell ref="A41:A45"/>
    <mergeCell ref="B41:B42"/>
    <mergeCell ref="A12:A13"/>
    <mergeCell ref="B12:B13"/>
    <mergeCell ref="A14:A21"/>
    <mergeCell ref="B14:B17"/>
    <mergeCell ref="B19:B21"/>
    <mergeCell ref="A22:A33"/>
    <mergeCell ref="A34:A36"/>
  </mergeCells>
  <printOptions horizontalCentered="1"/>
  <pageMargins bottom="0.4330708661417323" footer="0.0" header="0.0" left="0.1968503937007874" right="0.1968503937007874" top="0.7480314960629921"/>
  <pageSetup paperSize="9" orientation="landscape"/>
  <headerFooter>
    <oddHeader>&amp;LPřitažlivost/Image města a veřejný život&amp;RAkční plán rozvoje města pro období 2023 - 2024 - vyhodnocení plnění k 31.12.2023</oddHead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5.29"/>
    <col customWidth="1" min="2" max="2" width="24.86"/>
    <col customWidth="1" min="3" max="3" width="39.57"/>
    <col customWidth="1" min="4" max="4" width="7.71"/>
    <col customWidth="1" min="5" max="5" width="8.43"/>
    <col customWidth="1" hidden="1" min="6" max="7" width="9.71"/>
    <col customWidth="1" hidden="1" min="8" max="8" width="8.71"/>
    <col customWidth="1" hidden="1" min="9" max="9" width="9.29"/>
    <col customWidth="1" min="10" max="10" width="10.57"/>
    <col customWidth="1" min="11" max="11" width="50.57"/>
    <col customWidth="1" min="12" max="12" width="37.29"/>
    <col customWidth="1" min="13" max="26" width="8.71"/>
  </cols>
  <sheetData>
    <row r="1">
      <c r="A1" s="243" t="s">
        <v>208</v>
      </c>
      <c r="B1" s="3"/>
      <c r="C1" s="3"/>
      <c r="D1" s="3"/>
      <c r="E1" s="3"/>
      <c r="F1" s="3"/>
      <c r="G1" s="3"/>
      <c r="H1" s="3"/>
      <c r="I1" s="3"/>
      <c r="J1" s="3"/>
      <c r="K1" s="4"/>
    </row>
    <row r="2">
      <c r="A2" s="244" t="s">
        <v>1</v>
      </c>
      <c r="B2" s="245" t="s">
        <v>2</v>
      </c>
      <c r="C2" s="245" t="s">
        <v>3</v>
      </c>
      <c r="D2" s="246" t="s">
        <v>4</v>
      </c>
      <c r="E2" s="247" t="s">
        <v>5</v>
      </c>
      <c r="F2" s="248" t="s">
        <v>209</v>
      </c>
      <c r="G2" s="248" t="s">
        <v>210</v>
      </c>
      <c r="H2" s="249" t="s">
        <v>8</v>
      </c>
      <c r="I2" s="136"/>
      <c r="J2" s="250" t="s">
        <v>211</v>
      </c>
      <c r="K2" s="251" t="s">
        <v>10</v>
      </c>
    </row>
    <row r="3">
      <c r="A3" s="252"/>
      <c r="B3" s="253"/>
      <c r="C3" s="253"/>
      <c r="D3" s="254" t="s">
        <v>11</v>
      </c>
      <c r="E3" s="255"/>
      <c r="F3" s="256"/>
      <c r="G3" s="256"/>
      <c r="H3" s="257"/>
      <c r="I3" s="145"/>
      <c r="J3" s="258"/>
      <c r="K3" s="259"/>
    </row>
    <row r="4">
      <c r="A4" s="260"/>
      <c r="B4" s="261"/>
      <c r="C4" s="261"/>
      <c r="D4" s="262" t="s">
        <v>12</v>
      </c>
      <c r="E4" s="263"/>
      <c r="F4" s="264"/>
      <c r="G4" s="264"/>
      <c r="H4" s="265"/>
      <c r="I4" s="154"/>
      <c r="J4" s="266"/>
      <c r="K4" s="267"/>
    </row>
    <row r="5" ht="28.5" customHeight="1">
      <c r="A5" s="29" t="s">
        <v>212</v>
      </c>
      <c r="B5" s="71" t="s">
        <v>213</v>
      </c>
      <c r="C5" s="90" t="s">
        <v>214</v>
      </c>
      <c r="D5" s="91" t="s">
        <v>16</v>
      </c>
      <c r="E5" s="92" t="s">
        <v>62</v>
      </c>
      <c r="F5" s="93">
        <v>4460.0</v>
      </c>
      <c r="G5" s="93"/>
      <c r="H5" s="94"/>
      <c r="I5" s="268" t="s">
        <v>24</v>
      </c>
      <c r="J5" s="68" t="s">
        <v>36</v>
      </c>
      <c r="K5" s="38" t="s">
        <v>215</v>
      </c>
    </row>
    <row r="6">
      <c r="A6" s="39"/>
      <c r="B6" s="39"/>
      <c r="C6" s="197" t="s">
        <v>216</v>
      </c>
      <c r="D6" s="198" t="s">
        <v>16</v>
      </c>
      <c r="E6" s="199" t="s">
        <v>62</v>
      </c>
      <c r="F6" s="200">
        <v>6459.8</v>
      </c>
      <c r="G6" s="200"/>
      <c r="H6" s="202"/>
      <c r="I6" s="269" t="s">
        <v>24</v>
      </c>
      <c r="J6" s="205" t="s">
        <v>19</v>
      </c>
      <c r="K6" s="112" t="s">
        <v>217</v>
      </c>
    </row>
    <row r="7">
      <c r="A7" s="39"/>
      <c r="B7" s="39"/>
      <c r="C7" s="197" t="s">
        <v>218</v>
      </c>
      <c r="D7" s="198" t="s">
        <v>16</v>
      </c>
      <c r="E7" s="199" t="s">
        <v>219</v>
      </c>
      <c r="F7" s="200"/>
      <c r="G7" s="200"/>
      <c r="H7" s="202"/>
      <c r="I7" s="270"/>
      <c r="J7" s="216" t="s">
        <v>156</v>
      </c>
      <c r="K7" s="204" t="s">
        <v>220</v>
      </c>
    </row>
    <row r="8">
      <c r="A8" s="39"/>
      <c r="B8" s="39"/>
      <c r="C8" s="197" t="s">
        <v>221</v>
      </c>
      <c r="D8" s="198" t="s">
        <v>16</v>
      </c>
      <c r="E8" s="199" t="s">
        <v>17</v>
      </c>
      <c r="F8" s="200">
        <v>573.3</v>
      </c>
      <c r="G8" s="200"/>
      <c r="H8" s="202"/>
      <c r="I8" s="269" t="s">
        <v>24</v>
      </c>
      <c r="J8" s="205" t="s">
        <v>19</v>
      </c>
      <c r="K8" s="204" t="s">
        <v>222</v>
      </c>
    </row>
    <row r="9">
      <c r="A9" s="39"/>
      <c r="B9" s="39"/>
      <c r="C9" s="197" t="s">
        <v>223</v>
      </c>
      <c r="D9" s="198" t="s">
        <v>16</v>
      </c>
      <c r="E9" s="199" t="s">
        <v>62</v>
      </c>
      <c r="F9" s="200">
        <v>1300.0</v>
      </c>
      <c r="G9" s="200"/>
      <c r="H9" s="202"/>
      <c r="I9" s="271" t="s">
        <v>24</v>
      </c>
      <c r="J9" s="111" t="s">
        <v>36</v>
      </c>
      <c r="K9" s="112" t="s">
        <v>215</v>
      </c>
    </row>
    <row r="10">
      <c r="A10" s="39"/>
      <c r="B10" s="39"/>
      <c r="C10" s="197" t="s">
        <v>224</v>
      </c>
      <c r="D10" s="198" t="s">
        <v>16</v>
      </c>
      <c r="E10" s="199" t="s">
        <v>62</v>
      </c>
      <c r="F10" s="200">
        <v>1100.0</v>
      </c>
      <c r="G10" s="200"/>
      <c r="H10" s="202"/>
      <c r="I10" s="269" t="s">
        <v>24</v>
      </c>
      <c r="J10" s="205" t="s">
        <v>19</v>
      </c>
      <c r="K10" s="112" t="s">
        <v>225</v>
      </c>
    </row>
    <row r="11">
      <c r="A11" s="39"/>
      <c r="B11" s="39"/>
      <c r="C11" s="197" t="s">
        <v>226</v>
      </c>
      <c r="D11" s="198" t="s">
        <v>34</v>
      </c>
      <c r="E11" s="199" t="s">
        <v>227</v>
      </c>
      <c r="F11" s="272"/>
      <c r="G11" s="272"/>
      <c r="H11" s="222"/>
      <c r="I11" s="270"/>
      <c r="J11" s="205" t="s">
        <v>19</v>
      </c>
      <c r="K11" s="112" t="s">
        <v>228</v>
      </c>
    </row>
    <row r="12">
      <c r="A12" s="39"/>
      <c r="B12" s="39"/>
      <c r="C12" s="197" t="s">
        <v>229</v>
      </c>
      <c r="D12" s="198" t="s">
        <v>16</v>
      </c>
      <c r="E12" s="199" t="s">
        <v>62</v>
      </c>
      <c r="F12" s="273">
        <v>7000.0</v>
      </c>
      <c r="G12" s="273"/>
      <c r="H12" s="274"/>
      <c r="I12" s="275" t="s">
        <v>18</v>
      </c>
      <c r="J12" s="205" t="s">
        <v>19</v>
      </c>
      <c r="K12" s="112" t="s">
        <v>230</v>
      </c>
    </row>
    <row r="13">
      <c r="A13" s="39"/>
      <c r="B13" s="39"/>
      <c r="C13" s="197" t="s">
        <v>231</v>
      </c>
      <c r="D13" s="198" t="s">
        <v>34</v>
      </c>
      <c r="E13" s="199" t="s">
        <v>232</v>
      </c>
      <c r="F13" s="272"/>
      <c r="G13" s="272"/>
      <c r="H13" s="276"/>
      <c r="I13" s="275"/>
      <c r="J13" s="205" t="s">
        <v>19</v>
      </c>
      <c r="K13" s="204" t="s">
        <v>233</v>
      </c>
    </row>
    <row r="14">
      <c r="A14" s="39"/>
      <c r="B14" s="39"/>
      <c r="C14" s="197" t="s">
        <v>234</v>
      </c>
      <c r="D14" s="198" t="s">
        <v>34</v>
      </c>
      <c r="E14" s="199" t="s">
        <v>23</v>
      </c>
      <c r="F14" s="200">
        <v>600.0</v>
      </c>
      <c r="G14" s="200"/>
      <c r="H14" s="222"/>
      <c r="I14" s="277" t="s">
        <v>24</v>
      </c>
      <c r="J14" s="205" t="s">
        <v>19</v>
      </c>
      <c r="K14" s="112" t="s">
        <v>235</v>
      </c>
    </row>
    <row r="15">
      <c r="A15" s="40"/>
      <c r="B15" s="40"/>
      <c r="C15" s="95" t="s">
        <v>236</v>
      </c>
      <c r="D15" s="96" t="s">
        <v>16</v>
      </c>
      <c r="E15" s="97" t="s">
        <v>62</v>
      </c>
      <c r="F15" s="171">
        <v>300.0</v>
      </c>
      <c r="G15" s="171"/>
      <c r="H15" s="207"/>
      <c r="I15" s="278" t="s">
        <v>24</v>
      </c>
      <c r="J15" s="70" t="s">
        <v>36</v>
      </c>
      <c r="K15" s="48" t="s">
        <v>237</v>
      </c>
    </row>
    <row r="16" ht="30.75" customHeight="1">
      <c r="A16" s="29" t="s">
        <v>212</v>
      </c>
      <c r="B16" s="71" t="s">
        <v>213</v>
      </c>
      <c r="C16" s="279" t="s">
        <v>238</v>
      </c>
      <c r="D16" s="280" t="s">
        <v>16</v>
      </c>
      <c r="E16" s="281" t="s">
        <v>62</v>
      </c>
      <c r="F16" s="282"/>
      <c r="G16" s="282"/>
      <c r="H16" s="283"/>
      <c r="I16" s="284"/>
      <c r="J16" s="37" t="s">
        <v>19</v>
      </c>
      <c r="K16" s="38" t="s">
        <v>239</v>
      </c>
    </row>
    <row r="17">
      <c r="A17" s="39"/>
      <c r="B17" s="39"/>
      <c r="C17" s="197" t="s">
        <v>240</v>
      </c>
      <c r="D17" s="198" t="s">
        <v>34</v>
      </c>
      <c r="E17" s="199" t="s">
        <v>17</v>
      </c>
      <c r="F17" s="273">
        <v>250.0</v>
      </c>
      <c r="G17" s="273"/>
      <c r="H17" s="274"/>
      <c r="I17" s="285" t="s">
        <v>24</v>
      </c>
      <c r="J17" s="205" t="s">
        <v>19</v>
      </c>
      <c r="K17" s="112" t="s">
        <v>241</v>
      </c>
    </row>
    <row r="18">
      <c r="A18" s="39"/>
      <c r="B18" s="39"/>
      <c r="C18" s="217" t="s">
        <v>242</v>
      </c>
      <c r="D18" s="221" t="s">
        <v>16</v>
      </c>
      <c r="E18" s="218" t="s">
        <v>62</v>
      </c>
      <c r="F18" s="273">
        <v>11000.0</v>
      </c>
      <c r="G18" s="272"/>
      <c r="H18" s="276"/>
      <c r="I18" s="286" t="s">
        <v>24</v>
      </c>
      <c r="J18" s="111" t="s">
        <v>36</v>
      </c>
      <c r="K18" s="112" t="s">
        <v>243</v>
      </c>
    </row>
    <row r="19">
      <c r="A19" s="39"/>
      <c r="B19" s="40"/>
      <c r="C19" s="95" t="s">
        <v>244</v>
      </c>
      <c r="D19" s="96" t="s">
        <v>34</v>
      </c>
      <c r="E19" s="97" t="s">
        <v>98</v>
      </c>
      <c r="F19" s="98">
        <v>250.0</v>
      </c>
      <c r="G19" s="171"/>
      <c r="H19" s="99"/>
      <c r="I19" s="69" t="s">
        <v>18</v>
      </c>
      <c r="J19" s="47" t="s">
        <v>19</v>
      </c>
      <c r="K19" s="48" t="s">
        <v>245</v>
      </c>
    </row>
    <row r="20" ht="39.75" customHeight="1">
      <c r="A20" s="39"/>
      <c r="B20" s="287" t="s">
        <v>246</v>
      </c>
      <c r="C20" s="288" t="s">
        <v>247</v>
      </c>
      <c r="D20" s="37" t="s">
        <v>34</v>
      </c>
      <c r="E20" s="289" t="s">
        <v>248</v>
      </c>
      <c r="F20" s="290"/>
      <c r="G20" s="291"/>
      <c r="H20" s="292"/>
      <c r="I20" s="284"/>
      <c r="J20" s="293" t="s">
        <v>156</v>
      </c>
      <c r="K20" s="38" t="s">
        <v>249</v>
      </c>
      <c r="L20" s="163"/>
    </row>
    <row r="21" ht="39.75" customHeight="1">
      <c r="A21" s="40"/>
      <c r="B21" s="294"/>
      <c r="C21" s="295" t="s">
        <v>250</v>
      </c>
      <c r="D21" s="47" t="s">
        <v>34</v>
      </c>
      <c r="E21" s="296" t="s">
        <v>248</v>
      </c>
      <c r="F21" s="297">
        <v>200.0</v>
      </c>
      <c r="G21" s="297"/>
      <c r="H21" s="298"/>
      <c r="I21" s="299" t="s">
        <v>24</v>
      </c>
      <c r="J21" s="111" t="s">
        <v>36</v>
      </c>
      <c r="K21" s="112" t="s">
        <v>251</v>
      </c>
    </row>
    <row r="22" ht="28.5" customHeight="1">
      <c r="A22" s="300" t="s">
        <v>252</v>
      </c>
      <c r="B22" s="168" t="s">
        <v>253</v>
      </c>
      <c r="C22" s="90" t="s">
        <v>254</v>
      </c>
      <c r="D22" s="91" t="s">
        <v>34</v>
      </c>
      <c r="E22" s="92" t="s">
        <v>255</v>
      </c>
      <c r="F22" s="157"/>
      <c r="G22" s="157"/>
      <c r="H22" s="94"/>
      <c r="I22" s="60"/>
      <c r="J22" s="293" t="s">
        <v>156</v>
      </c>
      <c r="K22" s="38" t="s">
        <v>256</v>
      </c>
    </row>
    <row r="23">
      <c r="A23" s="39"/>
      <c r="B23" s="301"/>
      <c r="C23" s="302" t="s">
        <v>257</v>
      </c>
      <c r="D23" s="211" t="s">
        <v>34</v>
      </c>
      <c r="E23" s="303" t="s">
        <v>62</v>
      </c>
      <c r="F23" s="304">
        <v>200.0</v>
      </c>
      <c r="G23" s="304"/>
      <c r="H23" s="305"/>
      <c r="I23" s="286" t="s">
        <v>24</v>
      </c>
      <c r="J23" s="111" t="s">
        <v>36</v>
      </c>
      <c r="K23" s="112" t="s">
        <v>258</v>
      </c>
    </row>
    <row r="24">
      <c r="A24" s="39"/>
      <c r="B24" s="301"/>
      <c r="C24" s="197" t="s">
        <v>259</v>
      </c>
      <c r="D24" s="198" t="s">
        <v>34</v>
      </c>
      <c r="E24" s="199" t="s">
        <v>12</v>
      </c>
      <c r="F24" s="200">
        <v>180.0</v>
      </c>
      <c r="G24" s="200"/>
      <c r="H24" s="274"/>
      <c r="I24" s="286" t="s">
        <v>24</v>
      </c>
      <c r="J24" s="111" t="s">
        <v>36</v>
      </c>
      <c r="K24" s="112" t="s">
        <v>260</v>
      </c>
    </row>
    <row r="25">
      <c r="A25" s="39"/>
      <c r="B25" s="301"/>
      <c r="C25" s="197" t="s">
        <v>261</v>
      </c>
      <c r="D25" s="198" t="s">
        <v>34</v>
      </c>
      <c r="E25" s="199" t="s">
        <v>12</v>
      </c>
      <c r="F25" s="304"/>
      <c r="G25" s="273"/>
      <c r="H25" s="274"/>
      <c r="I25" s="275"/>
      <c r="J25" s="205" t="s">
        <v>19</v>
      </c>
      <c r="K25" s="112" t="s">
        <v>262</v>
      </c>
    </row>
    <row r="26">
      <c r="A26" s="39"/>
      <c r="B26" s="170"/>
      <c r="C26" s="95" t="s">
        <v>263</v>
      </c>
      <c r="D26" s="96" t="s">
        <v>34</v>
      </c>
      <c r="E26" s="97" t="s">
        <v>12</v>
      </c>
      <c r="F26" s="171"/>
      <c r="G26" s="171"/>
      <c r="H26" s="99"/>
      <c r="I26" s="69"/>
      <c r="J26" s="70" t="s">
        <v>36</v>
      </c>
      <c r="K26" s="48" t="s">
        <v>264</v>
      </c>
    </row>
    <row r="27">
      <c r="A27" s="40"/>
      <c r="B27" s="306" t="s">
        <v>265</v>
      </c>
      <c r="C27" s="307" t="s">
        <v>27</v>
      </c>
      <c r="D27" s="51"/>
      <c r="E27" s="51"/>
      <c r="F27" s="51"/>
      <c r="G27" s="51"/>
      <c r="H27" s="52"/>
      <c r="I27" s="53"/>
      <c r="J27" s="88" t="s">
        <v>19</v>
      </c>
      <c r="K27" s="55" t="s">
        <v>266</v>
      </c>
    </row>
    <row r="28">
      <c r="A28" s="300" t="s">
        <v>252</v>
      </c>
      <c r="B28" s="71" t="s">
        <v>267</v>
      </c>
      <c r="C28" s="308" t="s">
        <v>268</v>
      </c>
      <c r="D28" s="280" t="s">
        <v>34</v>
      </c>
      <c r="E28" s="281" t="s">
        <v>62</v>
      </c>
      <c r="F28" s="309">
        <v>200.0</v>
      </c>
      <c r="G28" s="309"/>
      <c r="H28" s="310"/>
      <c r="I28" s="67" t="s">
        <v>24</v>
      </c>
      <c r="J28" s="37" t="s">
        <v>19</v>
      </c>
      <c r="K28" s="112" t="s">
        <v>269</v>
      </c>
      <c r="L28" s="311"/>
    </row>
    <row r="29">
      <c r="A29" s="39"/>
      <c r="B29" s="39"/>
      <c r="C29" s="312" t="s">
        <v>270</v>
      </c>
      <c r="D29" s="221" t="s">
        <v>271</v>
      </c>
      <c r="E29" s="218" t="s">
        <v>272</v>
      </c>
      <c r="F29" s="219"/>
      <c r="G29" s="219"/>
      <c r="H29" s="276"/>
      <c r="I29" s="275"/>
      <c r="J29" s="216" t="s">
        <v>156</v>
      </c>
      <c r="K29" s="112" t="s">
        <v>273</v>
      </c>
      <c r="L29" s="311"/>
    </row>
    <row r="30">
      <c r="A30" s="39"/>
      <c r="B30" s="39"/>
      <c r="C30" s="312" t="s">
        <v>274</v>
      </c>
      <c r="D30" s="221" t="s">
        <v>16</v>
      </c>
      <c r="E30" s="218" t="s">
        <v>232</v>
      </c>
      <c r="F30" s="219">
        <v>8500.0</v>
      </c>
      <c r="G30" s="219"/>
      <c r="H30" s="276"/>
      <c r="I30" s="286" t="s">
        <v>24</v>
      </c>
      <c r="J30" s="111" t="s">
        <v>36</v>
      </c>
      <c r="K30" s="112" t="s">
        <v>215</v>
      </c>
      <c r="L30" s="311"/>
    </row>
    <row r="31">
      <c r="A31" s="39"/>
      <c r="B31" s="39"/>
      <c r="C31" s="312" t="s">
        <v>275</v>
      </c>
      <c r="D31" s="221" t="s">
        <v>34</v>
      </c>
      <c r="E31" s="218" t="s">
        <v>255</v>
      </c>
      <c r="F31" s="219"/>
      <c r="G31" s="219"/>
      <c r="H31" s="276"/>
      <c r="I31" s="313"/>
      <c r="J31" s="216" t="s">
        <v>156</v>
      </c>
      <c r="K31" s="112" t="s">
        <v>256</v>
      </c>
      <c r="L31" s="311"/>
    </row>
    <row r="32">
      <c r="A32" s="39"/>
      <c r="B32" s="39"/>
      <c r="C32" s="312" t="s">
        <v>276</v>
      </c>
      <c r="D32" s="221" t="s">
        <v>34</v>
      </c>
      <c r="E32" s="218" t="s">
        <v>248</v>
      </c>
      <c r="F32" s="219">
        <v>600.0</v>
      </c>
      <c r="G32" s="219"/>
      <c r="H32" s="276" t="s">
        <v>99</v>
      </c>
      <c r="I32" s="314" t="s">
        <v>24</v>
      </c>
      <c r="J32" s="205" t="s">
        <v>19</v>
      </c>
      <c r="K32" s="112" t="s">
        <v>241</v>
      </c>
    </row>
    <row r="33">
      <c r="A33" s="39"/>
      <c r="B33" s="39"/>
      <c r="C33" s="312" t="s">
        <v>277</v>
      </c>
      <c r="D33" s="221" t="s">
        <v>34</v>
      </c>
      <c r="E33" s="218" t="s">
        <v>278</v>
      </c>
      <c r="F33" s="219"/>
      <c r="G33" s="219"/>
      <c r="H33" s="276"/>
      <c r="I33" s="275"/>
      <c r="J33" s="205" t="s">
        <v>19</v>
      </c>
      <c r="K33" s="112" t="s">
        <v>279</v>
      </c>
      <c r="L33" s="311"/>
    </row>
    <row r="34">
      <c r="A34" s="39"/>
      <c r="B34" s="40"/>
      <c r="C34" s="315" t="s">
        <v>280</v>
      </c>
      <c r="D34" s="96" t="s">
        <v>34</v>
      </c>
      <c r="E34" s="97" t="s">
        <v>12</v>
      </c>
      <c r="F34" s="98">
        <v>14310.0</v>
      </c>
      <c r="G34" s="98"/>
      <c r="H34" s="99" t="s">
        <v>99</v>
      </c>
      <c r="I34" s="69" t="s">
        <v>18</v>
      </c>
      <c r="J34" s="70" t="s">
        <v>36</v>
      </c>
      <c r="K34" s="48" t="s">
        <v>243</v>
      </c>
      <c r="L34" s="311"/>
    </row>
    <row r="35" ht="57.75" customHeight="1">
      <c r="A35" s="39"/>
      <c r="B35" s="316" t="s">
        <v>281</v>
      </c>
      <c r="C35" s="317" t="s">
        <v>282</v>
      </c>
      <c r="D35" s="37" t="s">
        <v>283</v>
      </c>
      <c r="E35" s="289" t="s">
        <v>284</v>
      </c>
      <c r="F35" s="290"/>
      <c r="G35" s="290"/>
      <c r="H35" s="292"/>
      <c r="I35" s="60"/>
      <c r="J35" s="37" t="s">
        <v>19</v>
      </c>
      <c r="K35" s="38" t="s">
        <v>285</v>
      </c>
    </row>
    <row r="36">
      <c r="A36" s="39"/>
      <c r="B36" s="39"/>
      <c r="C36" s="318" t="s">
        <v>286</v>
      </c>
      <c r="D36" s="205" t="s">
        <v>34</v>
      </c>
      <c r="E36" s="319" t="s">
        <v>62</v>
      </c>
      <c r="F36" s="320">
        <v>7000.0</v>
      </c>
      <c r="G36" s="320"/>
      <c r="H36" s="321"/>
      <c r="I36" s="285" t="s">
        <v>24</v>
      </c>
      <c r="J36" s="111" t="s">
        <v>36</v>
      </c>
      <c r="K36" s="112" t="s">
        <v>287</v>
      </c>
    </row>
    <row r="37">
      <c r="A37" s="40"/>
      <c r="B37" s="40"/>
      <c r="C37" s="295" t="s">
        <v>288</v>
      </c>
      <c r="D37" s="47" t="s">
        <v>34</v>
      </c>
      <c r="E37" s="296" t="s">
        <v>289</v>
      </c>
      <c r="F37" s="322">
        <v>800.0</v>
      </c>
      <c r="G37" s="322"/>
      <c r="H37" s="298" t="s">
        <v>290</v>
      </c>
      <c r="I37" s="69" t="s">
        <v>18</v>
      </c>
      <c r="J37" s="47" t="s">
        <v>19</v>
      </c>
      <c r="K37" s="48" t="s">
        <v>291</v>
      </c>
    </row>
    <row r="38">
      <c r="A38" s="300" t="s">
        <v>252</v>
      </c>
      <c r="B38" s="316" t="s">
        <v>281</v>
      </c>
      <c r="C38" s="317" t="s">
        <v>292</v>
      </c>
      <c r="D38" s="37" t="s">
        <v>283</v>
      </c>
      <c r="E38" s="289" t="s">
        <v>272</v>
      </c>
      <c r="F38" s="291"/>
      <c r="G38" s="291"/>
      <c r="H38" s="292"/>
      <c r="I38" s="60"/>
      <c r="J38" s="37" t="s">
        <v>19</v>
      </c>
      <c r="K38" s="38" t="s">
        <v>293</v>
      </c>
    </row>
    <row r="39">
      <c r="A39" s="39"/>
      <c r="B39" s="39"/>
      <c r="C39" s="323" t="s">
        <v>294</v>
      </c>
      <c r="D39" s="324" t="s">
        <v>16</v>
      </c>
      <c r="E39" s="325" t="s">
        <v>12</v>
      </c>
      <c r="F39" s="326">
        <v>600.0</v>
      </c>
      <c r="G39" s="326"/>
      <c r="H39" s="327"/>
      <c r="I39" s="286" t="s">
        <v>24</v>
      </c>
      <c r="J39" s="205" t="s">
        <v>19</v>
      </c>
      <c r="K39" s="112" t="s">
        <v>295</v>
      </c>
    </row>
    <row r="40">
      <c r="A40" s="39"/>
      <c r="B40" s="39"/>
      <c r="C40" s="318" t="s">
        <v>296</v>
      </c>
      <c r="D40" s="205" t="s">
        <v>34</v>
      </c>
      <c r="E40" s="319" t="s">
        <v>102</v>
      </c>
      <c r="F40" s="326">
        <v>900.0</v>
      </c>
      <c r="G40" s="326"/>
      <c r="H40" s="327"/>
      <c r="I40" s="275" t="s">
        <v>18</v>
      </c>
      <c r="J40" s="216" t="s">
        <v>156</v>
      </c>
      <c r="K40" s="112" t="s">
        <v>297</v>
      </c>
    </row>
    <row r="41">
      <c r="A41" s="39"/>
      <c r="B41" s="39"/>
      <c r="C41" s="318" t="s">
        <v>298</v>
      </c>
      <c r="D41" s="205" t="s">
        <v>34</v>
      </c>
      <c r="E41" s="319" t="s">
        <v>102</v>
      </c>
      <c r="F41" s="326">
        <v>900.0</v>
      </c>
      <c r="G41" s="326"/>
      <c r="H41" s="327"/>
      <c r="I41" s="275" t="s">
        <v>18</v>
      </c>
      <c r="J41" s="205" t="s">
        <v>19</v>
      </c>
      <c r="K41" s="112" t="s">
        <v>299</v>
      </c>
    </row>
    <row r="42">
      <c r="A42" s="39"/>
      <c r="B42" s="39"/>
      <c r="C42" s="318" t="s">
        <v>300</v>
      </c>
      <c r="D42" s="205" t="s">
        <v>34</v>
      </c>
      <c r="E42" s="319" t="s">
        <v>301</v>
      </c>
      <c r="F42" s="326">
        <v>100.0</v>
      </c>
      <c r="G42" s="326"/>
      <c r="H42" s="327"/>
      <c r="I42" s="275" t="s">
        <v>18</v>
      </c>
      <c r="J42" s="111" t="s">
        <v>36</v>
      </c>
      <c r="K42" s="112" t="s">
        <v>302</v>
      </c>
    </row>
    <row r="43">
      <c r="A43" s="40"/>
      <c r="B43" s="40"/>
      <c r="C43" s="295" t="s">
        <v>303</v>
      </c>
      <c r="D43" s="47" t="s">
        <v>16</v>
      </c>
      <c r="E43" s="296" t="s">
        <v>102</v>
      </c>
      <c r="F43" s="297">
        <v>200.0</v>
      </c>
      <c r="G43" s="297"/>
      <c r="H43" s="298"/>
      <c r="I43" s="100" t="s">
        <v>24</v>
      </c>
      <c r="J43" s="172" t="s">
        <v>156</v>
      </c>
      <c r="K43" s="48" t="s">
        <v>304</v>
      </c>
    </row>
    <row r="44">
      <c r="A44" s="29" t="s">
        <v>305</v>
      </c>
      <c r="B44" s="328" t="s">
        <v>306</v>
      </c>
      <c r="C44" s="329" t="s">
        <v>307</v>
      </c>
      <c r="D44" s="330" t="s">
        <v>16</v>
      </c>
      <c r="E44" s="331" t="s">
        <v>12</v>
      </c>
      <c r="F44" s="332">
        <v>3180.7</v>
      </c>
      <c r="G44" s="332"/>
      <c r="H44" s="333"/>
      <c r="I44" s="334" t="s">
        <v>24</v>
      </c>
      <c r="J44" s="68" t="s">
        <v>36</v>
      </c>
      <c r="K44" s="38" t="s">
        <v>308</v>
      </c>
    </row>
    <row r="45">
      <c r="A45" s="39"/>
      <c r="B45" s="335"/>
      <c r="C45" s="336" t="s">
        <v>309</v>
      </c>
      <c r="D45" s="337" t="s">
        <v>16</v>
      </c>
      <c r="E45" s="338" t="s">
        <v>12</v>
      </c>
      <c r="F45" s="339">
        <v>1200.0</v>
      </c>
      <c r="G45" s="339"/>
      <c r="H45" s="340"/>
      <c r="I45" s="341" t="s">
        <v>24</v>
      </c>
      <c r="J45" s="205" t="s">
        <v>19</v>
      </c>
      <c r="K45" s="112" t="s">
        <v>310</v>
      </c>
    </row>
    <row r="46">
      <c r="A46" s="39"/>
      <c r="B46" s="335"/>
      <c r="C46" s="336" t="s">
        <v>311</v>
      </c>
      <c r="D46" s="337" t="s">
        <v>16</v>
      </c>
      <c r="E46" s="338" t="s">
        <v>12</v>
      </c>
      <c r="F46" s="339">
        <v>4000.0</v>
      </c>
      <c r="G46" s="339"/>
      <c r="H46" s="340"/>
      <c r="I46" s="341" t="s">
        <v>18</v>
      </c>
      <c r="J46" s="205" t="s">
        <v>19</v>
      </c>
      <c r="K46" s="112" t="s">
        <v>312</v>
      </c>
    </row>
    <row r="47" ht="21.0" customHeight="1">
      <c r="A47" s="40"/>
      <c r="B47" s="294"/>
      <c r="C47" s="95" t="s">
        <v>313</v>
      </c>
      <c r="D47" s="342" t="s">
        <v>16</v>
      </c>
      <c r="E47" s="343" t="s">
        <v>102</v>
      </c>
      <c r="F47" s="171">
        <v>500.0</v>
      </c>
      <c r="G47" s="171"/>
      <c r="H47" s="344"/>
      <c r="I47" s="69" t="s">
        <v>18</v>
      </c>
      <c r="J47" s="47" t="s">
        <v>19</v>
      </c>
      <c r="K47" s="48" t="s">
        <v>314</v>
      </c>
    </row>
    <row r="48">
      <c r="A48" s="29" t="s">
        <v>305</v>
      </c>
      <c r="B48" s="287" t="s">
        <v>315</v>
      </c>
      <c r="C48" s="317" t="s">
        <v>316</v>
      </c>
      <c r="D48" s="37" t="s">
        <v>16</v>
      </c>
      <c r="E48" s="289" t="s">
        <v>317</v>
      </c>
      <c r="F48" s="290"/>
      <c r="G48" s="290"/>
      <c r="H48" s="292"/>
      <c r="I48" s="60"/>
      <c r="J48" s="37" t="s">
        <v>19</v>
      </c>
      <c r="K48" s="38" t="s">
        <v>318</v>
      </c>
    </row>
    <row r="49">
      <c r="A49" s="39"/>
      <c r="B49" s="335"/>
      <c r="C49" s="323" t="s">
        <v>319</v>
      </c>
      <c r="D49" s="324" t="s">
        <v>320</v>
      </c>
      <c r="E49" s="325" t="s">
        <v>317</v>
      </c>
      <c r="F49" s="345"/>
      <c r="G49" s="326"/>
      <c r="H49" s="327"/>
      <c r="I49" s="275"/>
      <c r="J49" s="205" t="s">
        <v>19</v>
      </c>
      <c r="K49" s="112" t="s">
        <v>321</v>
      </c>
    </row>
    <row r="50">
      <c r="A50" s="39"/>
      <c r="B50" s="294"/>
      <c r="C50" s="295" t="s">
        <v>322</v>
      </c>
      <c r="D50" s="47" t="s">
        <v>34</v>
      </c>
      <c r="E50" s="296" t="s">
        <v>323</v>
      </c>
      <c r="F50" s="297">
        <v>3500.0</v>
      </c>
      <c r="G50" s="297"/>
      <c r="H50" s="298" t="s">
        <v>103</v>
      </c>
      <c r="I50" s="100" t="s">
        <v>24</v>
      </c>
      <c r="J50" s="47" t="s">
        <v>19</v>
      </c>
      <c r="K50" s="48" t="s">
        <v>324</v>
      </c>
    </row>
    <row r="51">
      <c r="A51" s="39"/>
      <c r="B51" s="168" t="s">
        <v>325</v>
      </c>
      <c r="C51" s="90" t="s">
        <v>326</v>
      </c>
      <c r="D51" s="91" t="s">
        <v>327</v>
      </c>
      <c r="E51" s="92" t="s">
        <v>328</v>
      </c>
      <c r="F51" s="157">
        <v>500.0</v>
      </c>
      <c r="G51" s="75"/>
      <c r="H51" s="77"/>
      <c r="I51" s="60" t="s">
        <v>18</v>
      </c>
      <c r="J51" s="37" t="s">
        <v>19</v>
      </c>
      <c r="K51" s="38"/>
    </row>
    <row r="52">
      <c r="A52" s="39"/>
      <c r="B52" s="301"/>
      <c r="C52" s="197" t="s">
        <v>329</v>
      </c>
      <c r="D52" s="198" t="s">
        <v>34</v>
      </c>
      <c r="E52" s="199" t="s">
        <v>330</v>
      </c>
      <c r="F52" s="273">
        <f>800+2000</f>
        <v>2800</v>
      </c>
      <c r="G52" s="346"/>
      <c r="H52" s="347"/>
      <c r="I52" s="286" t="s">
        <v>331</v>
      </c>
      <c r="J52" s="111" t="s">
        <v>36</v>
      </c>
      <c r="K52" s="112" t="s">
        <v>332</v>
      </c>
    </row>
    <row r="53">
      <c r="A53" s="39"/>
      <c r="B53" s="170"/>
      <c r="C53" s="95" t="s">
        <v>333</v>
      </c>
      <c r="D53" s="96" t="s">
        <v>34</v>
      </c>
      <c r="E53" s="97" t="s">
        <v>334</v>
      </c>
      <c r="F53" s="171"/>
      <c r="G53" s="81"/>
      <c r="H53" s="83"/>
      <c r="I53" s="348"/>
      <c r="J53" s="70" t="s">
        <v>36</v>
      </c>
      <c r="K53" s="48" t="s">
        <v>335</v>
      </c>
    </row>
    <row r="54">
      <c r="A54" s="39"/>
      <c r="B54" s="349" t="s">
        <v>336</v>
      </c>
      <c r="C54" s="350" t="s">
        <v>337</v>
      </c>
      <c r="D54" s="351" t="s">
        <v>338</v>
      </c>
      <c r="E54" s="352" t="s">
        <v>339</v>
      </c>
      <c r="F54" s="353"/>
      <c r="G54" s="353"/>
      <c r="H54" s="354"/>
      <c r="I54" s="355"/>
      <c r="J54" s="351" t="s">
        <v>19</v>
      </c>
      <c r="K54" s="356" t="s">
        <v>340</v>
      </c>
    </row>
    <row r="55">
      <c r="A55" s="39"/>
      <c r="B55" s="39"/>
      <c r="C55" s="357" t="s">
        <v>341</v>
      </c>
      <c r="D55" s="358" t="s">
        <v>342</v>
      </c>
      <c r="E55" s="359" t="s">
        <v>343</v>
      </c>
      <c r="F55" s="360"/>
      <c r="G55" s="360"/>
      <c r="H55" s="361"/>
      <c r="I55" s="362"/>
      <c r="J55" s="111" t="s">
        <v>36</v>
      </c>
      <c r="K55" s="112" t="s">
        <v>344</v>
      </c>
    </row>
    <row r="56">
      <c r="A56" s="40"/>
      <c r="B56" s="363"/>
      <c r="C56" s="323" t="s">
        <v>345</v>
      </c>
      <c r="D56" s="324" t="s">
        <v>16</v>
      </c>
      <c r="E56" s="325" t="s">
        <v>12</v>
      </c>
      <c r="F56" s="326">
        <f>3030+1700</f>
        <v>4730</v>
      </c>
      <c r="G56" s="326"/>
      <c r="H56" s="327"/>
      <c r="I56" s="364" t="s">
        <v>65</v>
      </c>
      <c r="J56" s="324" t="s">
        <v>19</v>
      </c>
      <c r="K56" s="365" t="s">
        <v>346</v>
      </c>
    </row>
    <row r="57" ht="28.5" customHeight="1">
      <c r="A57" s="29" t="s">
        <v>347</v>
      </c>
      <c r="B57" s="71" t="s">
        <v>348</v>
      </c>
      <c r="C57" s="72" t="s">
        <v>349</v>
      </c>
      <c r="D57" s="73" t="s">
        <v>34</v>
      </c>
      <c r="E57" s="74" t="s">
        <v>57</v>
      </c>
      <c r="F57" s="76">
        <v>380.0</v>
      </c>
      <c r="G57" s="76"/>
      <c r="H57" s="77"/>
      <c r="I57" s="366" t="s">
        <v>24</v>
      </c>
      <c r="J57" s="293" t="s">
        <v>156</v>
      </c>
      <c r="K57" s="38" t="s">
        <v>350</v>
      </c>
    </row>
    <row r="58">
      <c r="A58" s="39"/>
      <c r="B58" s="39"/>
      <c r="C58" s="367" t="s">
        <v>351</v>
      </c>
      <c r="D58" s="368" t="s">
        <v>34</v>
      </c>
      <c r="E58" s="369" t="s">
        <v>62</v>
      </c>
      <c r="F58" s="370">
        <f>22000+500+100</f>
        <v>22600</v>
      </c>
      <c r="G58" s="370"/>
      <c r="H58" s="347" t="s">
        <v>290</v>
      </c>
      <c r="I58" s="285" t="s">
        <v>24</v>
      </c>
      <c r="J58" s="111" t="s">
        <v>36</v>
      </c>
      <c r="K58" s="112" t="s">
        <v>352</v>
      </c>
    </row>
    <row r="59">
      <c r="A59" s="40"/>
      <c r="B59" s="40"/>
      <c r="C59" s="95" t="s">
        <v>353</v>
      </c>
      <c r="D59" s="96" t="s">
        <v>34</v>
      </c>
      <c r="E59" s="97" t="s">
        <v>272</v>
      </c>
      <c r="F59" s="98">
        <v>2500.0</v>
      </c>
      <c r="G59" s="98"/>
      <c r="H59" s="207" t="s">
        <v>290</v>
      </c>
      <c r="I59" s="63" t="s">
        <v>18</v>
      </c>
      <c r="J59" s="47" t="s">
        <v>19</v>
      </c>
      <c r="K59" s="48" t="s">
        <v>354</v>
      </c>
    </row>
    <row r="60" ht="50.25" customHeight="1">
      <c r="A60" s="29" t="s">
        <v>347</v>
      </c>
      <c r="B60" s="71" t="s">
        <v>348</v>
      </c>
      <c r="C60" s="308" t="s">
        <v>355</v>
      </c>
      <c r="D60" s="280" t="s">
        <v>356</v>
      </c>
      <c r="E60" s="281" t="s">
        <v>62</v>
      </c>
      <c r="F60" s="282"/>
      <c r="G60" s="282"/>
      <c r="H60" s="310"/>
      <c r="I60" s="60"/>
      <c r="J60" s="37" t="s">
        <v>19</v>
      </c>
      <c r="K60" s="38" t="s">
        <v>357</v>
      </c>
    </row>
    <row r="61" ht="32.25" customHeight="1">
      <c r="A61" s="39"/>
      <c r="B61" s="40"/>
      <c r="C61" s="315" t="s">
        <v>358</v>
      </c>
      <c r="D61" s="96" t="s">
        <v>16</v>
      </c>
      <c r="E61" s="97" t="s">
        <v>62</v>
      </c>
      <c r="F61" s="171">
        <v>3700.0</v>
      </c>
      <c r="G61" s="171"/>
      <c r="H61" s="99"/>
      <c r="I61" s="100" t="s">
        <v>24</v>
      </c>
      <c r="J61" s="70" t="s">
        <v>36</v>
      </c>
      <c r="K61" s="48" t="s">
        <v>215</v>
      </c>
    </row>
    <row r="62">
      <c r="A62" s="40"/>
      <c r="B62" s="371" t="s">
        <v>359</v>
      </c>
      <c r="C62" s="372" t="s">
        <v>360</v>
      </c>
      <c r="D62" s="88" t="s">
        <v>16</v>
      </c>
      <c r="E62" s="373" t="s">
        <v>151</v>
      </c>
      <c r="F62" s="374">
        <f>336.3+6500</f>
        <v>6836.3</v>
      </c>
      <c r="G62" s="374"/>
      <c r="H62" s="375" t="s">
        <v>361</v>
      </c>
      <c r="I62" s="238" t="s">
        <v>65</v>
      </c>
      <c r="J62" s="88" t="s">
        <v>19</v>
      </c>
      <c r="K62" s="55" t="s">
        <v>362</v>
      </c>
      <c r="L62" s="376"/>
    </row>
    <row r="63" ht="112.5" customHeight="1">
      <c r="A63" s="29" t="s">
        <v>363</v>
      </c>
      <c r="B63" s="168" t="s">
        <v>364</v>
      </c>
      <c r="C63" s="90" t="s">
        <v>365</v>
      </c>
      <c r="D63" s="91" t="s">
        <v>366</v>
      </c>
      <c r="E63" s="92" t="s">
        <v>62</v>
      </c>
      <c r="F63" s="93"/>
      <c r="G63" s="93"/>
      <c r="H63" s="94" t="s">
        <v>290</v>
      </c>
      <c r="I63" s="60"/>
      <c r="J63" s="37" t="s">
        <v>19</v>
      </c>
      <c r="K63" s="38" t="s">
        <v>367</v>
      </c>
    </row>
    <row r="64" ht="37.5" customHeight="1">
      <c r="A64" s="39"/>
      <c r="B64" s="301"/>
      <c r="C64" s="197" t="s">
        <v>368</v>
      </c>
      <c r="D64" s="198" t="s">
        <v>366</v>
      </c>
      <c r="E64" s="199" t="s">
        <v>12</v>
      </c>
      <c r="F64" s="200">
        <v>600.0</v>
      </c>
      <c r="G64" s="200"/>
      <c r="H64" s="274"/>
      <c r="I64" s="341" t="s">
        <v>24</v>
      </c>
      <c r="J64" s="111" t="s">
        <v>36</v>
      </c>
      <c r="K64" s="112" t="s">
        <v>369</v>
      </c>
    </row>
    <row r="65" ht="39.0" customHeight="1">
      <c r="A65" s="39"/>
      <c r="B65" s="170"/>
      <c r="C65" s="95" t="s">
        <v>370</v>
      </c>
      <c r="D65" s="96" t="s">
        <v>371</v>
      </c>
      <c r="E65" s="97" t="s">
        <v>12</v>
      </c>
      <c r="F65" s="98"/>
      <c r="G65" s="98"/>
      <c r="H65" s="207"/>
      <c r="I65" s="63"/>
      <c r="J65" s="70" t="s">
        <v>36</v>
      </c>
      <c r="K65" s="48" t="s">
        <v>372</v>
      </c>
    </row>
    <row r="66">
      <c r="A66" s="39"/>
      <c r="B66" s="377" t="s">
        <v>373</v>
      </c>
      <c r="C66" s="307" t="s">
        <v>27</v>
      </c>
      <c r="D66" s="51"/>
      <c r="E66" s="51"/>
      <c r="F66" s="51"/>
      <c r="G66" s="51"/>
      <c r="H66" s="52"/>
      <c r="I66" s="53"/>
      <c r="J66" s="54"/>
      <c r="K66" s="55" t="s">
        <v>28</v>
      </c>
      <c r="L66" s="376"/>
    </row>
    <row r="67">
      <c r="A67" s="40"/>
      <c r="B67" s="228" t="s">
        <v>374</v>
      </c>
      <c r="C67" s="50" t="s">
        <v>27</v>
      </c>
      <c r="D67" s="51"/>
      <c r="E67" s="51"/>
      <c r="F67" s="51"/>
      <c r="G67" s="51"/>
      <c r="H67" s="52"/>
      <c r="I67" s="378"/>
      <c r="J67" s="88" t="s">
        <v>19</v>
      </c>
      <c r="K67" s="55" t="s">
        <v>375</v>
      </c>
    </row>
    <row r="68" ht="36.0" customHeight="1">
      <c r="A68" s="29" t="s">
        <v>363</v>
      </c>
      <c r="B68" s="379" t="s">
        <v>376</v>
      </c>
      <c r="C68" s="317" t="s">
        <v>377</v>
      </c>
      <c r="D68" s="37" t="s">
        <v>34</v>
      </c>
      <c r="E68" s="289" t="s">
        <v>62</v>
      </c>
      <c r="F68" s="290">
        <v>16200.0</v>
      </c>
      <c r="G68" s="290"/>
      <c r="H68" s="292" t="s">
        <v>290</v>
      </c>
      <c r="I68" s="67" t="s">
        <v>24</v>
      </c>
      <c r="J68" s="68" t="s">
        <v>36</v>
      </c>
      <c r="K68" s="38" t="s">
        <v>352</v>
      </c>
      <c r="L68" s="376"/>
    </row>
    <row r="69" ht="52.5" customHeight="1">
      <c r="A69" s="39"/>
      <c r="B69" s="380"/>
      <c r="C69" s="295" t="s">
        <v>378</v>
      </c>
      <c r="D69" s="47" t="s">
        <v>34</v>
      </c>
      <c r="E69" s="296" t="s">
        <v>379</v>
      </c>
      <c r="F69" s="322">
        <v>350.0</v>
      </c>
      <c r="G69" s="322"/>
      <c r="H69" s="298" t="s">
        <v>290</v>
      </c>
      <c r="I69" s="381" t="s">
        <v>24</v>
      </c>
      <c r="J69" s="47" t="s">
        <v>19</v>
      </c>
      <c r="K69" s="48" t="s">
        <v>380</v>
      </c>
      <c r="L69" s="376"/>
    </row>
    <row r="70" ht="63.75" customHeight="1">
      <c r="A70" s="39"/>
      <c r="B70" s="168" t="s">
        <v>381</v>
      </c>
      <c r="C70" s="302" t="s">
        <v>382</v>
      </c>
      <c r="D70" s="211" t="s">
        <v>366</v>
      </c>
      <c r="E70" s="303" t="s">
        <v>62</v>
      </c>
      <c r="F70" s="304"/>
      <c r="G70" s="304"/>
      <c r="H70" s="213"/>
      <c r="I70" s="382"/>
      <c r="J70" s="37" t="s">
        <v>19</v>
      </c>
      <c r="K70" s="38" t="s">
        <v>383</v>
      </c>
    </row>
    <row r="71" ht="49.5" customHeight="1">
      <c r="A71" s="39"/>
      <c r="B71" s="301"/>
      <c r="C71" s="197" t="s">
        <v>384</v>
      </c>
      <c r="D71" s="198" t="s">
        <v>366</v>
      </c>
      <c r="E71" s="199" t="s">
        <v>62</v>
      </c>
      <c r="F71" s="273"/>
      <c r="G71" s="273"/>
      <c r="H71" s="202"/>
      <c r="I71" s="313"/>
      <c r="J71" s="111" t="s">
        <v>36</v>
      </c>
      <c r="K71" s="112" t="s">
        <v>385</v>
      </c>
    </row>
    <row r="72" ht="51.0" customHeight="1">
      <c r="A72" s="39"/>
      <c r="B72" s="301"/>
      <c r="C72" s="217" t="s">
        <v>386</v>
      </c>
      <c r="D72" s="221" t="s">
        <v>366</v>
      </c>
      <c r="E72" s="218" t="s">
        <v>12</v>
      </c>
      <c r="F72" s="219">
        <v>180.0</v>
      </c>
      <c r="G72" s="219"/>
      <c r="H72" s="222"/>
      <c r="I72" s="383" t="s">
        <v>18</v>
      </c>
      <c r="J72" s="47" t="s">
        <v>19</v>
      </c>
      <c r="K72" s="48" t="s">
        <v>387</v>
      </c>
    </row>
    <row r="73" ht="62.25" customHeight="1">
      <c r="A73" s="39"/>
      <c r="B73" s="379" t="s">
        <v>388</v>
      </c>
      <c r="C73" s="384" t="s">
        <v>389</v>
      </c>
      <c r="D73" s="385" t="s">
        <v>16</v>
      </c>
      <c r="E73" s="386" t="s">
        <v>390</v>
      </c>
      <c r="F73" s="387">
        <v>500.0</v>
      </c>
      <c r="G73" s="290"/>
      <c r="H73" s="388" t="s">
        <v>391</v>
      </c>
      <c r="I73" s="60" t="s">
        <v>18</v>
      </c>
      <c r="J73" s="68" t="s">
        <v>36</v>
      </c>
      <c r="K73" s="38" t="s">
        <v>392</v>
      </c>
    </row>
    <row r="74">
      <c r="A74" s="39"/>
      <c r="B74" s="335"/>
      <c r="C74" s="318" t="s">
        <v>393</v>
      </c>
      <c r="D74" s="205" t="s">
        <v>16</v>
      </c>
      <c r="E74" s="319" t="s">
        <v>62</v>
      </c>
      <c r="F74" s="389">
        <v>1000.0</v>
      </c>
      <c r="G74" s="389"/>
      <c r="H74" s="321"/>
      <c r="I74" s="285" t="s">
        <v>24</v>
      </c>
      <c r="J74" s="111" t="s">
        <v>36</v>
      </c>
      <c r="K74" s="112" t="s">
        <v>394</v>
      </c>
    </row>
    <row r="75" ht="55.5" customHeight="1">
      <c r="A75" s="39"/>
      <c r="B75" s="335"/>
      <c r="C75" s="318" t="s">
        <v>395</v>
      </c>
      <c r="D75" s="205" t="s">
        <v>396</v>
      </c>
      <c r="E75" s="319" t="s">
        <v>397</v>
      </c>
      <c r="F75" s="320"/>
      <c r="G75" s="389"/>
      <c r="H75" s="321"/>
      <c r="I75" s="275"/>
      <c r="J75" s="205" t="s">
        <v>19</v>
      </c>
      <c r="K75" s="112" t="s">
        <v>398</v>
      </c>
    </row>
    <row r="76" ht="40.5" customHeight="1">
      <c r="A76" s="40"/>
      <c r="B76" s="294"/>
      <c r="C76" s="390" t="s">
        <v>399</v>
      </c>
      <c r="D76" s="47" t="s">
        <v>16</v>
      </c>
      <c r="E76" s="296" t="s">
        <v>400</v>
      </c>
      <c r="F76" s="297"/>
      <c r="G76" s="297"/>
      <c r="H76" s="298"/>
      <c r="I76" s="69"/>
      <c r="J76" s="70" t="s">
        <v>36</v>
      </c>
      <c r="K76" s="48" t="s">
        <v>401</v>
      </c>
    </row>
    <row r="77" ht="34.5" customHeight="1">
      <c r="A77" s="29" t="s">
        <v>363</v>
      </c>
      <c r="B77" s="168" t="s">
        <v>402</v>
      </c>
      <c r="C77" s="90" t="s">
        <v>403</v>
      </c>
      <c r="D77" s="91" t="s">
        <v>34</v>
      </c>
      <c r="E77" s="92" t="s">
        <v>219</v>
      </c>
      <c r="F77" s="93"/>
      <c r="G77" s="93"/>
      <c r="H77" s="158"/>
      <c r="I77" s="334"/>
      <c r="J77" s="293" t="s">
        <v>156</v>
      </c>
      <c r="K77" s="38" t="s">
        <v>256</v>
      </c>
    </row>
    <row r="78" ht="30.0" customHeight="1">
      <c r="A78" s="39"/>
      <c r="B78" s="301"/>
      <c r="C78" s="197" t="s">
        <v>404</v>
      </c>
      <c r="D78" s="198" t="s">
        <v>34</v>
      </c>
      <c r="E78" s="199" t="s">
        <v>219</v>
      </c>
      <c r="F78" s="200"/>
      <c r="G78" s="200"/>
      <c r="H78" s="202"/>
      <c r="I78" s="313"/>
      <c r="J78" s="216" t="s">
        <v>156</v>
      </c>
      <c r="K78" s="112" t="s">
        <v>256</v>
      </c>
    </row>
    <row r="79">
      <c r="A79" s="39"/>
      <c r="B79" s="301"/>
      <c r="C79" s="197" t="s">
        <v>405</v>
      </c>
      <c r="D79" s="198" t="s">
        <v>16</v>
      </c>
      <c r="E79" s="199" t="s">
        <v>129</v>
      </c>
      <c r="F79" s="272">
        <v>2107.0</v>
      </c>
      <c r="G79" s="200"/>
      <c r="H79" s="202"/>
      <c r="I79" s="285" t="s">
        <v>24</v>
      </c>
      <c r="J79" s="205" t="s">
        <v>19</v>
      </c>
      <c r="K79" s="112" t="s">
        <v>406</v>
      </c>
    </row>
    <row r="80" ht="33.0" customHeight="1">
      <c r="A80" s="39"/>
      <c r="B80" s="301"/>
      <c r="C80" s="197" t="s">
        <v>407</v>
      </c>
      <c r="D80" s="198" t="s">
        <v>16</v>
      </c>
      <c r="E80" s="199" t="s">
        <v>17</v>
      </c>
      <c r="F80" s="200">
        <v>500.0</v>
      </c>
      <c r="G80" s="200"/>
      <c r="H80" s="202"/>
      <c r="I80" s="313" t="s">
        <v>18</v>
      </c>
      <c r="J80" s="205" t="s">
        <v>19</v>
      </c>
      <c r="K80" s="112" t="s">
        <v>241</v>
      </c>
    </row>
    <row r="81" ht="34.5" customHeight="1">
      <c r="A81" s="40"/>
      <c r="B81" s="170"/>
      <c r="C81" s="95" t="s">
        <v>408</v>
      </c>
      <c r="D81" s="96" t="s">
        <v>16</v>
      </c>
      <c r="E81" s="97" t="s">
        <v>17</v>
      </c>
      <c r="F81" s="98">
        <v>650.0</v>
      </c>
      <c r="G81" s="171"/>
      <c r="H81" s="99"/>
      <c r="I81" s="69" t="s">
        <v>18</v>
      </c>
      <c r="J81" s="47" t="s">
        <v>19</v>
      </c>
      <c r="K81" s="48" t="s">
        <v>241</v>
      </c>
    </row>
    <row r="82" ht="34.5" customHeight="1">
      <c r="A82" s="29" t="s">
        <v>409</v>
      </c>
      <c r="B82" s="379" t="s">
        <v>410</v>
      </c>
      <c r="C82" s="317" t="s">
        <v>411</v>
      </c>
      <c r="D82" s="37" t="s">
        <v>34</v>
      </c>
      <c r="E82" s="289" t="s">
        <v>62</v>
      </c>
      <c r="F82" s="290">
        <v>1000.0</v>
      </c>
      <c r="G82" s="290"/>
      <c r="H82" s="292"/>
      <c r="I82" s="67" t="s">
        <v>24</v>
      </c>
      <c r="J82" s="68" t="s">
        <v>36</v>
      </c>
      <c r="K82" s="38" t="s">
        <v>412</v>
      </c>
    </row>
    <row r="83" ht="70.5" customHeight="1">
      <c r="A83" s="39"/>
      <c r="B83" s="294"/>
      <c r="C83" s="295" t="s">
        <v>413</v>
      </c>
      <c r="D83" s="47" t="s">
        <v>414</v>
      </c>
      <c r="E83" s="296" t="s">
        <v>109</v>
      </c>
      <c r="F83" s="297"/>
      <c r="G83" s="322"/>
      <c r="H83" s="298"/>
      <c r="I83" s="69"/>
      <c r="J83" s="47" t="s">
        <v>19</v>
      </c>
      <c r="K83" s="48" t="s">
        <v>415</v>
      </c>
    </row>
    <row r="84" ht="111.75" customHeight="1">
      <c r="A84" s="40"/>
      <c r="B84" s="391" t="s">
        <v>416</v>
      </c>
      <c r="C84" s="392" t="s">
        <v>417</v>
      </c>
      <c r="D84" s="393" t="s">
        <v>418</v>
      </c>
      <c r="E84" s="394" t="s">
        <v>12</v>
      </c>
      <c r="F84" s="395"/>
      <c r="G84" s="395"/>
      <c r="H84" s="161" t="s">
        <v>419</v>
      </c>
      <c r="I84" s="396"/>
      <c r="J84" s="397" t="s">
        <v>19</v>
      </c>
      <c r="K84" s="398" t="s">
        <v>420</v>
      </c>
    </row>
    <row r="85">
      <c r="A85" s="121"/>
      <c r="B85" s="399"/>
      <c r="D85" s="123"/>
      <c r="E85" s="239"/>
      <c r="F85" s="125"/>
      <c r="G85" s="125"/>
      <c r="I85" s="126"/>
      <c r="J85" s="400"/>
      <c r="K85" s="401"/>
    </row>
    <row r="86">
      <c r="A86" s="121"/>
      <c r="B86" s="399"/>
      <c r="D86" s="123"/>
      <c r="E86" s="239"/>
      <c r="F86" s="125"/>
      <c r="G86" s="125"/>
      <c r="I86" s="126"/>
      <c r="J86" s="400"/>
      <c r="K86" s="401"/>
    </row>
    <row r="87">
      <c r="A87" s="121"/>
      <c r="B87" s="399"/>
      <c r="D87" s="123"/>
      <c r="E87" s="239"/>
      <c r="F87" s="125"/>
      <c r="G87" s="125"/>
      <c r="I87" s="126"/>
      <c r="J87" s="400"/>
      <c r="K87" s="401"/>
    </row>
    <row r="88">
      <c r="A88" s="121"/>
      <c r="B88" s="399"/>
      <c r="D88" s="123"/>
      <c r="E88" s="239"/>
      <c r="F88" s="125"/>
      <c r="G88" s="125"/>
      <c r="I88" s="126"/>
      <c r="J88" s="400"/>
      <c r="K88" s="401"/>
    </row>
    <row r="89">
      <c r="A89" s="121"/>
      <c r="B89" s="399"/>
      <c r="D89" s="123"/>
      <c r="E89" s="239"/>
      <c r="F89" s="125"/>
      <c r="G89" s="125"/>
      <c r="I89" s="126"/>
      <c r="J89" s="400"/>
      <c r="K89" s="401"/>
    </row>
    <row r="90">
      <c r="A90" s="121"/>
      <c r="B90" s="399"/>
      <c r="D90" s="123"/>
      <c r="E90" s="239"/>
      <c r="F90" s="125"/>
      <c r="G90" s="125"/>
      <c r="I90" s="126"/>
      <c r="J90" s="400"/>
      <c r="K90" s="401"/>
    </row>
    <row r="91">
      <c r="A91" s="121"/>
      <c r="B91" s="399"/>
      <c r="D91" s="123"/>
      <c r="E91" s="239"/>
      <c r="F91" s="125"/>
      <c r="G91" s="125"/>
      <c r="I91" s="126"/>
      <c r="J91" s="400"/>
      <c r="K91" s="401"/>
    </row>
    <row r="92">
      <c r="A92" s="121"/>
      <c r="B92" s="399"/>
      <c r="D92" s="123"/>
      <c r="E92" s="239"/>
      <c r="F92" s="125"/>
      <c r="G92" s="125"/>
      <c r="I92" s="126"/>
      <c r="J92" s="400"/>
      <c r="K92" s="401"/>
    </row>
    <row r="93">
      <c r="A93" s="121"/>
      <c r="B93" s="399"/>
      <c r="D93" s="123"/>
      <c r="E93" s="239"/>
      <c r="F93" s="125"/>
      <c r="G93" s="125"/>
      <c r="I93" s="126"/>
      <c r="J93" s="400"/>
      <c r="K93" s="401"/>
    </row>
    <row r="94">
      <c r="A94" s="121"/>
      <c r="B94" s="399"/>
      <c r="D94" s="123"/>
      <c r="E94" s="239"/>
      <c r="F94" s="125"/>
      <c r="G94" s="125"/>
      <c r="I94" s="126"/>
      <c r="J94" s="400"/>
      <c r="K94" s="401"/>
    </row>
    <row r="95">
      <c r="A95" s="121"/>
      <c r="B95" s="399"/>
      <c r="D95" s="123"/>
      <c r="E95" s="239"/>
      <c r="F95" s="125"/>
      <c r="G95" s="125"/>
      <c r="I95" s="126"/>
      <c r="J95" s="400"/>
      <c r="K95" s="401"/>
    </row>
    <row r="96">
      <c r="A96" s="121"/>
      <c r="B96" s="399"/>
      <c r="D96" s="123"/>
      <c r="E96" s="239"/>
      <c r="F96" s="125"/>
      <c r="G96" s="125"/>
      <c r="I96" s="126"/>
      <c r="J96" s="400"/>
      <c r="K96" s="401"/>
    </row>
    <row r="97">
      <c r="A97" s="121"/>
      <c r="B97" s="399"/>
      <c r="D97" s="123"/>
      <c r="E97" s="239"/>
      <c r="F97" s="125"/>
      <c r="G97" s="125"/>
      <c r="I97" s="126"/>
      <c r="J97" s="400"/>
      <c r="K97" s="401"/>
    </row>
    <row r="98">
      <c r="A98" s="121"/>
      <c r="B98" s="399"/>
      <c r="D98" s="123"/>
      <c r="E98" s="239"/>
      <c r="F98" s="125"/>
      <c r="G98" s="125"/>
      <c r="I98" s="126"/>
      <c r="J98" s="400"/>
      <c r="K98" s="401"/>
    </row>
    <row r="99">
      <c r="A99" s="121"/>
      <c r="B99" s="399"/>
      <c r="D99" s="123"/>
      <c r="E99" s="239"/>
      <c r="F99" s="125"/>
      <c r="G99" s="125"/>
      <c r="I99" s="126"/>
      <c r="J99" s="400"/>
      <c r="K99" s="401"/>
    </row>
    <row r="100">
      <c r="A100" s="121"/>
      <c r="B100" s="399"/>
      <c r="D100" s="123"/>
      <c r="E100" s="239"/>
      <c r="F100" s="125"/>
      <c r="G100" s="125"/>
      <c r="I100" s="126"/>
      <c r="J100" s="400"/>
      <c r="K100" s="401"/>
    </row>
    <row r="101">
      <c r="A101" s="121"/>
      <c r="B101" s="399"/>
      <c r="D101" s="123"/>
      <c r="E101" s="239"/>
      <c r="F101" s="125"/>
      <c r="G101" s="125"/>
      <c r="I101" s="126"/>
      <c r="J101" s="400"/>
      <c r="K101" s="401"/>
    </row>
    <row r="102">
      <c r="A102" s="121"/>
      <c r="B102" s="399"/>
      <c r="D102" s="123"/>
      <c r="E102" s="239"/>
      <c r="F102" s="125"/>
      <c r="G102" s="125"/>
      <c r="I102" s="126"/>
      <c r="J102" s="400"/>
      <c r="K102" s="401"/>
    </row>
    <row r="103">
      <c r="A103" s="121"/>
      <c r="B103" s="399"/>
      <c r="D103" s="123"/>
      <c r="E103" s="239"/>
      <c r="F103" s="125"/>
      <c r="G103" s="125"/>
      <c r="I103" s="126"/>
      <c r="J103" s="400"/>
      <c r="K103" s="401"/>
    </row>
    <row r="104">
      <c r="A104" s="121"/>
      <c r="B104" s="399"/>
      <c r="D104" s="123"/>
      <c r="E104" s="239"/>
      <c r="F104" s="125"/>
      <c r="G104" s="125"/>
      <c r="I104" s="126"/>
      <c r="J104" s="402"/>
      <c r="K104" s="401"/>
    </row>
    <row r="105">
      <c r="A105" s="121"/>
      <c r="B105" s="399"/>
      <c r="D105" s="123"/>
      <c r="E105" s="239"/>
      <c r="F105" s="125"/>
      <c r="G105" s="125"/>
      <c r="I105" s="126"/>
      <c r="J105" s="402"/>
      <c r="K105" s="401"/>
    </row>
    <row r="106">
      <c r="A106" s="121"/>
      <c r="B106" s="399"/>
      <c r="D106" s="123"/>
      <c r="E106" s="239"/>
      <c r="F106" s="125"/>
      <c r="G106" s="125"/>
      <c r="I106" s="126"/>
      <c r="J106" s="402"/>
      <c r="K106" s="401"/>
    </row>
    <row r="107">
      <c r="A107" s="121"/>
      <c r="B107" s="399"/>
      <c r="D107" s="123"/>
      <c r="E107" s="239"/>
      <c r="F107" s="125"/>
      <c r="G107" s="125"/>
      <c r="I107" s="126"/>
      <c r="J107" s="402"/>
      <c r="K107" s="401"/>
    </row>
    <row r="108">
      <c r="A108" s="121"/>
      <c r="B108" s="399"/>
      <c r="D108" s="123"/>
      <c r="E108" s="239"/>
      <c r="F108" s="125"/>
      <c r="G108" s="125"/>
      <c r="I108" s="126"/>
      <c r="J108" s="402"/>
      <c r="K108" s="401"/>
    </row>
    <row r="109">
      <c r="A109" s="121"/>
      <c r="B109" s="399"/>
      <c r="D109" s="123"/>
      <c r="E109" s="239"/>
      <c r="F109" s="125"/>
      <c r="G109" s="125"/>
      <c r="I109" s="126"/>
      <c r="J109" s="402"/>
      <c r="K109" s="401"/>
    </row>
    <row r="110">
      <c r="A110" s="121"/>
      <c r="B110" s="399"/>
      <c r="D110" s="123"/>
      <c r="E110" s="239"/>
      <c r="F110" s="125"/>
      <c r="G110" s="125"/>
      <c r="I110" s="126"/>
      <c r="J110" s="402"/>
      <c r="K110" s="401"/>
    </row>
    <row r="111">
      <c r="A111" s="121"/>
      <c r="B111" s="399"/>
      <c r="D111" s="123"/>
      <c r="E111" s="239"/>
      <c r="F111" s="125"/>
      <c r="G111" s="125"/>
      <c r="I111" s="126"/>
      <c r="J111" s="402"/>
      <c r="K111" s="401"/>
    </row>
    <row r="112">
      <c r="A112" s="121"/>
      <c r="B112" s="399"/>
      <c r="D112" s="123"/>
      <c r="E112" s="239"/>
      <c r="F112" s="125"/>
      <c r="G112" s="125"/>
      <c r="I112" s="126"/>
      <c r="J112" s="402"/>
      <c r="K112" s="401"/>
    </row>
    <row r="113">
      <c r="A113" s="121"/>
      <c r="B113" s="399"/>
      <c r="D113" s="123"/>
      <c r="E113" s="239"/>
      <c r="F113" s="125"/>
      <c r="G113" s="125"/>
      <c r="I113" s="126"/>
      <c r="J113" s="402"/>
      <c r="K113" s="401"/>
    </row>
    <row r="114">
      <c r="A114" s="121"/>
      <c r="B114" s="399"/>
      <c r="D114" s="123"/>
      <c r="E114" s="239"/>
      <c r="F114" s="125"/>
      <c r="G114" s="125"/>
      <c r="I114" s="126"/>
      <c r="J114" s="402"/>
      <c r="K114" s="401"/>
    </row>
    <row r="115">
      <c r="A115" s="121"/>
      <c r="B115" s="399"/>
      <c r="D115" s="123"/>
      <c r="E115" s="239"/>
      <c r="F115" s="125"/>
      <c r="G115" s="125"/>
      <c r="I115" s="126"/>
      <c r="J115" s="402"/>
      <c r="K115" s="401"/>
    </row>
    <row r="116">
      <c r="A116" s="121"/>
      <c r="B116" s="399"/>
      <c r="D116" s="123"/>
      <c r="E116" s="239"/>
      <c r="F116" s="125"/>
      <c r="G116" s="125"/>
      <c r="I116" s="126"/>
      <c r="J116" s="402"/>
      <c r="K116" s="401"/>
    </row>
    <row r="117">
      <c r="A117" s="121"/>
      <c r="B117" s="399"/>
      <c r="D117" s="123"/>
      <c r="E117" s="239"/>
      <c r="F117" s="125"/>
      <c r="G117" s="125"/>
      <c r="I117" s="126"/>
      <c r="J117" s="402"/>
      <c r="K117" s="401"/>
    </row>
    <row r="118">
      <c r="A118" s="121"/>
      <c r="B118" s="399"/>
      <c r="D118" s="123"/>
      <c r="E118" s="239"/>
      <c r="F118" s="125"/>
      <c r="G118" s="125"/>
      <c r="I118" s="126"/>
      <c r="J118" s="402"/>
      <c r="K118" s="401"/>
    </row>
    <row r="119">
      <c r="A119" s="121"/>
      <c r="B119" s="399"/>
      <c r="D119" s="123"/>
      <c r="E119" s="239"/>
      <c r="F119" s="125"/>
      <c r="G119" s="125"/>
      <c r="I119" s="126"/>
      <c r="J119" s="402"/>
      <c r="K119" s="401"/>
    </row>
    <row r="120">
      <c r="A120" s="121"/>
      <c r="B120" s="399"/>
      <c r="D120" s="123"/>
      <c r="E120" s="239"/>
      <c r="F120" s="125"/>
      <c r="G120" s="125"/>
      <c r="I120" s="126"/>
      <c r="J120" s="402"/>
      <c r="K120" s="401"/>
    </row>
    <row r="121">
      <c r="A121" s="121"/>
      <c r="B121" s="399"/>
      <c r="D121" s="123"/>
      <c r="E121" s="239"/>
      <c r="F121" s="125"/>
      <c r="G121" s="125"/>
      <c r="I121" s="126"/>
      <c r="J121" s="402"/>
      <c r="K121" s="401"/>
    </row>
    <row r="122">
      <c r="A122" s="121"/>
      <c r="B122" s="399"/>
      <c r="D122" s="123"/>
      <c r="E122" s="239"/>
      <c r="F122" s="125"/>
      <c r="G122" s="125"/>
      <c r="I122" s="126"/>
      <c r="J122" s="402"/>
      <c r="K122" s="401"/>
    </row>
    <row r="123">
      <c r="A123" s="121"/>
      <c r="B123" s="399"/>
      <c r="D123" s="123"/>
      <c r="E123" s="239"/>
      <c r="F123" s="125"/>
      <c r="G123" s="125"/>
      <c r="I123" s="126"/>
      <c r="J123" s="402"/>
      <c r="K123" s="401"/>
    </row>
    <row r="124">
      <c r="A124" s="121"/>
      <c r="B124" s="399"/>
      <c r="D124" s="123"/>
      <c r="E124" s="239"/>
      <c r="F124" s="125"/>
      <c r="G124" s="125"/>
      <c r="I124" s="126"/>
      <c r="J124" s="402"/>
      <c r="K124" s="401"/>
    </row>
    <row r="125">
      <c r="A125" s="121"/>
      <c r="B125" s="399"/>
      <c r="D125" s="123"/>
      <c r="E125" s="239"/>
      <c r="F125" s="125"/>
      <c r="G125" s="125"/>
      <c r="I125" s="126"/>
      <c r="J125" s="402"/>
      <c r="K125" s="401"/>
    </row>
    <row r="126">
      <c r="A126" s="121"/>
      <c r="B126" s="399"/>
      <c r="D126" s="123"/>
      <c r="E126" s="239"/>
      <c r="F126" s="125"/>
      <c r="G126" s="125"/>
      <c r="I126" s="126"/>
      <c r="J126" s="402"/>
      <c r="K126" s="401"/>
    </row>
    <row r="127">
      <c r="A127" s="121"/>
      <c r="B127" s="399"/>
      <c r="D127" s="123"/>
      <c r="E127" s="239"/>
      <c r="F127" s="125"/>
      <c r="G127" s="125"/>
      <c r="I127" s="126"/>
      <c r="J127" s="402"/>
      <c r="K127" s="401"/>
    </row>
    <row r="128">
      <c r="A128" s="121"/>
      <c r="B128" s="399"/>
      <c r="D128" s="123"/>
      <c r="E128" s="239"/>
      <c r="F128" s="125"/>
      <c r="G128" s="125"/>
      <c r="I128" s="126"/>
      <c r="J128" s="402"/>
      <c r="K128" s="401"/>
    </row>
    <row r="129">
      <c r="A129" s="121"/>
      <c r="B129" s="399"/>
      <c r="D129" s="123"/>
      <c r="E129" s="239"/>
      <c r="F129" s="125"/>
      <c r="G129" s="125"/>
      <c r="I129" s="126"/>
      <c r="J129" s="402"/>
      <c r="K129" s="401"/>
    </row>
    <row r="130">
      <c r="A130" s="121"/>
      <c r="B130" s="399"/>
      <c r="D130" s="123"/>
      <c r="E130" s="239"/>
      <c r="F130" s="125"/>
      <c r="G130" s="125"/>
      <c r="I130" s="126"/>
      <c r="J130" s="402"/>
      <c r="K130" s="401"/>
    </row>
    <row r="131">
      <c r="A131" s="121"/>
      <c r="B131" s="399"/>
      <c r="D131" s="123"/>
      <c r="E131" s="239"/>
      <c r="F131" s="125"/>
      <c r="G131" s="125"/>
      <c r="I131" s="126"/>
      <c r="J131" s="402"/>
      <c r="K131" s="401"/>
    </row>
    <row r="132">
      <c r="A132" s="121"/>
      <c r="B132" s="399"/>
      <c r="D132" s="123"/>
      <c r="E132" s="239"/>
      <c r="F132" s="125"/>
      <c r="G132" s="125"/>
      <c r="I132" s="126"/>
      <c r="J132" s="402"/>
      <c r="K132" s="401"/>
    </row>
    <row r="133">
      <c r="A133" s="121"/>
      <c r="B133" s="399"/>
      <c r="D133" s="123"/>
      <c r="E133" s="239"/>
      <c r="F133" s="125"/>
      <c r="G133" s="125"/>
      <c r="I133" s="126"/>
      <c r="J133" s="402"/>
      <c r="K133" s="401"/>
    </row>
    <row r="134">
      <c r="A134" s="121"/>
      <c r="B134" s="399"/>
      <c r="D134" s="123"/>
      <c r="E134" s="239"/>
      <c r="F134" s="125"/>
      <c r="G134" s="125"/>
      <c r="I134" s="126"/>
      <c r="J134" s="402"/>
      <c r="K134" s="401"/>
    </row>
    <row r="135">
      <c r="A135" s="121"/>
      <c r="B135" s="399"/>
      <c r="D135" s="123"/>
      <c r="E135" s="239"/>
      <c r="F135" s="125"/>
      <c r="G135" s="125"/>
      <c r="I135" s="126"/>
      <c r="J135" s="402"/>
      <c r="K135" s="401"/>
    </row>
    <row r="136">
      <c r="A136" s="121"/>
      <c r="B136" s="399"/>
      <c r="D136" s="123"/>
      <c r="E136" s="239"/>
      <c r="F136" s="125"/>
      <c r="G136" s="125"/>
      <c r="I136" s="126"/>
      <c r="J136" s="402"/>
      <c r="K136" s="401"/>
    </row>
    <row r="137">
      <c r="A137" s="121"/>
      <c r="B137" s="399"/>
      <c r="D137" s="123"/>
      <c r="E137" s="239"/>
      <c r="F137" s="125"/>
      <c r="G137" s="125"/>
      <c r="I137" s="126"/>
      <c r="J137" s="402"/>
      <c r="K137" s="401"/>
    </row>
    <row r="138">
      <c r="A138" s="121"/>
      <c r="B138" s="399"/>
      <c r="D138" s="123"/>
      <c r="E138" s="239"/>
      <c r="F138" s="125"/>
      <c r="G138" s="125"/>
      <c r="I138" s="126"/>
      <c r="J138" s="402"/>
      <c r="K138" s="401"/>
    </row>
    <row r="139">
      <c r="A139" s="121"/>
      <c r="B139" s="399"/>
      <c r="D139" s="123"/>
      <c r="E139" s="239"/>
      <c r="F139" s="125"/>
      <c r="G139" s="125"/>
      <c r="I139" s="126"/>
      <c r="J139" s="402"/>
      <c r="K139" s="401"/>
    </row>
    <row r="140">
      <c r="A140" s="121"/>
      <c r="B140" s="399"/>
      <c r="D140" s="123"/>
      <c r="E140" s="239"/>
      <c r="F140" s="125"/>
      <c r="G140" s="125"/>
      <c r="I140" s="126"/>
      <c r="J140" s="402"/>
      <c r="K140" s="401"/>
    </row>
    <row r="141">
      <c r="A141" s="121"/>
      <c r="B141" s="399"/>
      <c r="D141" s="123"/>
      <c r="E141" s="239"/>
      <c r="F141" s="125"/>
      <c r="G141" s="125"/>
      <c r="I141" s="126"/>
      <c r="J141" s="402"/>
      <c r="K141" s="401"/>
    </row>
    <row r="142">
      <c r="A142" s="121"/>
      <c r="B142" s="399"/>
      <c r="D142" s="123"/>
      <c r="E142" s="239"/>
      <c r="F142" s="125"/>
      <c r="G142" s="125"/>
      <c r="I142" s="126"/>
      <c r="J142" s="402"/>
      <c r="K142" s="401"/>
    </row>
    <row r="143">
      <c r="A143" s="121"/>
      <c r="B143" s="399"/>
      <c r="D143" s="123"/>
      <c r="E143" s="239"/>
      <c r="F143" s="125"/>
      <c r="G143" s="125"/>
      <c r="I143" s="126"/>
      <c r="J143" s="402"/>
      <c r="K143" s="401"/>
    </row>
    <row r="144">
      <c r="A144" s="121"/>
      <c r="B144" s="399"/>
      <c r="D144" s="123"/>
      <c r="E144" s="239"/>
      <c r="F144" s="125"/>
      <c r="G144" s="125"/>
      <c r="I144" s="126"/>
      <c r="J144" s="402"/>
      <c r="K144" s="401"/>
    </row>
    <row r="145">
      <c r="A145" s="121"/>
      <c r="B145" s="399"/>
      <c r="D145" s="123"/>
      <c r="E145" s="239"/>
      <c r="F145" s="125"/>
      <c r="G145" s="125"/>
      <c r="I145" s="126"/>
      <c r="J145" s="402"/>
      <c r="K145" s="401"/>
    </row>
    <row r="146">
      <c r="A146" s="121"/>
      <c r="B146" s="399"/>
      <c r="D146" s="123"/>
      <c r="E146" s="239"/>
      <c r="F146" s="125"/>
      <c r="G146" s="125"/>
      <c r="I146" s="126"/>
      <c r="J146" s="402"/>
      <c r="K146" s="401"/>
    </row>
    <row r="147">
      <c r="A147" s="121"/>
      <c r="B147" s="399"/>
      <c r="D147" s="123"/>
      <c r="E147" s="239"/>
      <c r="F147" s="125"/>
      <c r="G147" s="125"/>
      <c r="I147" s="126"/>
      <c r="J147" s="402"/>
      <c r="K147" s="401"/>
    </row>
    <row r="148">
      <c r="A148" s="121"/>
      <c r="B148" s="399"/>
      <c r="D148" s="123"/>
      <c r="E148" s="239"/>
      <c r="F148" s="125"/>
      <c r="G148" s="125"/>
      <c r="I148" s="126"/>
      <c r="J148" s="402"/>
      <c r="K148" s="401"/>
    </row>
    <row r="149">
      <c r="A149" s="121"/>
      <c r="B149" s="399"/>
      <c r="D149" s="123"/>
      <c r="E149" s="239"/>
      <c r="F149" s="125"/>
      <c r="G149" s="125"/>
      <c r="I149" s="126"/>
      <c r="J149" s="402"/>
      <c r="K149" s="401"/>
    </row>
    <row r="150">
      <c r="A150" s="121"/>
      <c r="B150" s="399"/>
      <c r="D150" s="123"/>
      <c r="E150" s="239"/>
      <c r="F150" s="125"/>
      <c r="G150" s="125"/>
      <c r="I150" s="126"/>
      <c r="J150" s="402"/>
      <c r="K150" s="401"/>
    </row>
    <row r="151">
      <c r="A151" s="121"/>
      <c r="B151" s="399"/>
      <c r="D151" s="123"/>
      <c r="E151" s="239"/>
      <c r="F151" s="125"/>
      <c r="G151" s="125"/>
      <c r="I151" s="126"/>
      <c r="J151" s="402"/>
      <c r="K151" s="401"/>
    </row>
    <row r="152">
      <c r="A152" s="121"/>
      <c r="B152" s="399"/>
      <c r="D152" s="123"/>
      <c r="E152" s="239"/>
      <c r="F152" s="125"/>
      <c r="G152" s="125"/>
      <c r="I152" s="126"/>
      <c r="J152" s="402"/>
      <c r="K152" s="401"/>
    </row>
    <row r="153">
      <c r="A153" s="121"/>
      <c r="B153" s="399"/>
      <c r="D153" s="123"/>
      <c r="E153" s="239"/>
      <c r="F153" s="125"/>
      <c r="G153" s="125"/>
      <c r="I153" s="126"/>
      <c r="J153" s="402"/>
      <c r="K153" s="401"/>
    </row>
    <row r="154">
      <c r="A154" s="121"/>
      <c r="B154" s="399"/>
      <c r="D154" s="123"/>
      <c r="E154" s="239"/>
      <c r="F154" s="125"/>
      <c r="G154" s="125"/>
      <c r="I154" s="126"/>
      <c r="J154" s="402"/>
      <c r="K154" s="401"/>
    </row>
    <row r="155">
      <c r="A155" s="121"/>
      <c r="B155" s="399"/>
      <c r="D155" s="123"/>
      <c r="E155" s="239"/>
      <c r="F155" s="125"/>
      <c r="G155" s="125"/>
      <c r="I155" s="126"/>
      <c r="J155" s="402"/>
      <c r="K155" s="401"/>
    </row>
    <row r="156">
      <c r="A156" s="121"/>
      <c r="B156" s="399"/>
      <c r="D156" s="123"/>
      <c r="E156" s="239"/>
      <c r="F156" s="125"/>
      <c r="G156" s="125"/>
      <c r="I156" s="126"/>
      <c r="J156" s="402"/>
      <c r="K156" s="401"/>
    </row>
    <row r="157">
      <c r="A157" s="121"/>
      <c r="B157" s="399"/>
      <c r="D157" s="123"/>
      <c r="E157" s="239"/>
      <c r="F157" s="125"/>
      <c r="G157" s="125"/>
      <c r="I157" s="126"/>
      <c r="J157" s="402"/>
      <c r="K157" s="401"/>
    </row>
    <row r="158">
      <c r="A158" s="121"/>
      <c r="B158" s="399"/>
      <c r="D158" s="123"/>
      <c r="E158" s="239"/>
      <c r="F158" s="125"/>
      <c r="G158" s="125"/>
      <c r="I158" s="126"/>
      <c r="J158" s="402"/>
      <c r="K158" s="401"/>
    </row>
    <row r="159">
      <c r="A159" s="121"/>
      <c r="B159" s="399"/>
      <c r="D159" s="123"/>
      <c r="E159" s="239"/>
      <c r="F159" s="125"/>
      <c r="G159" s="125"/>
      <c r="I159" s="126"/>
      <c r="J159" s="402"/>
      <c r="K159" s="401"/>
    </row>
    <row r="160">
      <c r="A160" s="121"/>
      <c r="B160" s="399"/>
      <c r="D160" s="123"/>
      <c r="E160" s="239"/>
      <c r="F160" s="125"/>
      <c r="G160" s="125"/>
      <c r="I160" s="126"/>
      <c r="J160" s="402"/>
      <c r="K160" s="401"/>
    </row>
    <row r="161">
      <c r="A161" s="121"/>
      <c r="B161" s="399"/>
      <c r="D161" s="123"/>
      <c r="E161" s="239"/>
      <c r="F161" s="125"/>
      <c r="G161" s="125"/>
      <c r="I161" s="126"/>
      <c r="J161" s="402"/>
      <c r="K161" s="401"/>
    </row>
    <row r="162">
      <c r="A162" s="121"/>
      <c r="B162" s="399"/>
      <c r="D162" s="123"/>
      <c r="E162" s="239"/>
      <c r="F162" s="125"/>
      <c r="G162" s="125"/>
      <c r="I162" s="126"/>
      <c r="J162" s="402"/>
      <c r="K162" s="401"/>
    </row>
    <row r="163">
      <c r="A163" s="121"/>
      <c r="B163" s="399"/>
      <c r="D163" s="123"/>
      <c r="E163" s="239"/>
      <c r="F163" s="125"/>
      <c r="G163" s="125"/>
      <c r="I163" s="126"/>
      <c r="J163" s="402"/>
      <c r="K163" s="401"/>
    </row>
    <row r="164">
      <c r="A164" s="121"/>
      <c r="B164" s="399"/>
      <c r="D164" s="123"/>
      <c r="E164" s="239"/>
      <c r="F164" s="125"/>
      <c r="G164" s="125"/>
      <c r="I164" s="126"/>
      <c r="J164" s="402"/>
      <c r="K164" s="401"/>
    </row>
    <row r="165">
      <c r="A165" s="121"/>
      <c r="B165" s="399"/>
      <c r="D165" s="123"/>
      <c r="E165" s="239"/>
      <c r="F165" s="125"/>
      <c r="G165" s="125"/>
      <c r="I165" s="126"/>
      <c r="J165" s="402"/>
      <c r="K165" s="401"/>
    </row>
    <row r="166">
      <c r="A166" s="121"/>
      <c r="B166" s="399"/>
      <c r="D166" s="123"/>
      <c r="E166" s="239"/>
      <c r="F166" s="125"/>
      <c r="G166" s="125"/>
      <c r="I166" s="126"/>
      <c r="J166" s="402"/>
      <c r="K166" s="401"/>
    </row>
    <row r="167">
      <c r="A167" s="121"/>
      <c r="B167" s="399"/>
      <c r="D167" s="123"/>
      <c r="E167" s="239"/>
      <c r="F167" s="125"/>
      <c r="G167" s="125"/>
      <c r="I167" s="126"/>
      <c r="J167" s="402"/>
      <c r="K167" s="401"/>
    </row>
    <row r="168">
      <c r="A168" s="121"/>
      <c r="B168" s="399"/>
      <c r="D168" s="123"/>
      <c r="E168" s="239"/>
      <c r="F168" s="125"/>
      <c r="G168" s="125"/>
      <c r="I168" s="126"/>
      <c r="J168" s="402"/>
      <c r="K168" s="401"/>
    </row>
    <row r="169">
      <c r="A169" s="121"/>
      <c r="B169" s="399"/>
      <c r="D169" s="123"/>
      <c r="E169" s="239"/>
      <c r="F169" s="125"/>
      <c r="G169" s="125"/>
      <c r="I169" s="126"/>
      <c r="J169" s="402"/>
      <c r="K169" s="401"/>
    </row>
    <row r="170">
      <c r="A170" s="121"/>
      <c r="B170" s="399"/>
      <c r="D170" s="123"/>
      <c r="E170" s="239"/>
      <c r="F170" s="125"/>
      <c r="G170" s="125"/>
      <c r="I170" s="126"/>
      <c r="J170" s="402"/>
      <c r="K170" s="401"/>
    </row>
    <row r="171">
      <c r="A171" s="121"/>
      <c r="B171" s="399"/>
      <c r="D171" s="123"/>
      <c r="E171" s="239"/>
      <c r="F171" s="125"/>
      <c r="G171" s="125"/>
      <c r="I171" s="126"/>
      <c r="J171" s="402"/>
      <c r="K171" s="401"/>
    </row>
    <row r="172">
      <c r="A172" s="121"/>
      <c r="B172" s="399"/>
      <c r="D172" s="123"/>
      <c r="E172" s="239"/>
      <c r="F172" s="125"/>
      <c r="G172" s="125"/>
      <c r="I172" s="126"/>
      <c r="J172" s="402"/>
      <c r="K172" s="401"/>
    </row>
    <row r="173">
      <c r="A173" s="121"/>
      <c r="B173" s="399"/>
      <c r="D173" s="123"/>
      <c r="E173" s="239"/>
      <c r="F173" s="125"/>
      <c r="G173" s="125"/>
      <c r="I173" s="126"/>
      <c r="J173" s="402"/>
      <c r="K173" s="401"/>
    </row>
    <row r="174">
      <c r="A174" s="121"/>
      <c r="B174" s="399"/>
      <c r="D174" s="123"/>
      <c r="E174" s="239"/>
      <c r="F174" s="125"/>
      <c r="G174" s="125"/>
      <c r="I174" s="126"/>
      <c r="J174" s="402"/>
      <c r="K174" s="401"/>
    </row>
    <row r="175">
      <c r="A175" s="121"/>
      <c r="B175" s="399"/>
      <c r="D175" s="123"/>
      <c r="E175" s="239"/>
      <c r="F175" s="125"/>
      <c r="G175" s="125"/>
      <c r="I175" s="126"/>
      <c r="J175" s="402"/>
      <c r="K175" s="401"/>
    </row>
    <row r="176">
      <c r="A176" s="121"/>
      <c r="B176" s="399"/>
      <c r="D176" s="123"/>
      <c r="E176" s="239"/>
      <c r="F176" s="125"/>
      <c r="G176" s="125"/>
      <c r="I176" s="126"/>
      <c r="J176" s="402"/>
      <c r="K176" s="401"/>
    </row>
    <row r="177">
      <c r="A177" s="121"/>
      <c r="B177" s="399"/>
      <c r="D177" s="123"/>
      <c r="E177" s="239"/>
      <c r="F177" s="125"/>
      <c r="G177" s="125"/>
      <c r="I177" s="126"/>
      <c r="J177" s="402"/>
      <c r="K177" s="401"/>
    </row>
    <row r="178">
      <c r="A178" s="121"/>
      <c r="B178" s="399"/>
      <c r="D178" s="123"/>
      <c r="E178" s="239"/>
      <c r="F178" s="125"/>
      <c r="G178" s="125"/>
      <c r="I178" s="126"/>
      <c r="J178" s="402"/>
      <c r="K178" s="401"/>
    </row>
    <row r="179">
      <c r="A179" s="121"/>
      <c r="B179" s="399"/>
      <c r="D179" s="123"/>
      <c r="E179" s="239"/>
      <c r="F179" s="125"/>
      <c r="G179" s="125"/>
      <c r="I179" s="126"/>
      <c r="J179" s="402"/>
      <c r="K179" s="401"/>
    </row>
    <row r="180">
      <c r="A180" s="121"/>
      <c r="B180" s="399"/>
      <c r="D180" s="123"/>
      <c r="E180" s="239"/>
      <c r="F180" s="125"/>
      <c r="G180" s="125"/>
      <c r="I180" s="126"/>
      <c r="J180" s="402"/>
      <c r="K180" s="401"/>
    </row>
    <row r="181">
      <c r="A181" s="121"/>
      <c r="B181" s="399"/>
      <c r="D181" s="123"/>
      <c r="E181" s="239"/>
      <c r="F181" s="125"/>
      <c r="G181" s="125"/>
      <c r="I181" s="126"/>
      <c r="J181" s="402"/>
      <c r="K181" s="401"/>
    </row>
    <row r="182">
      <c r="A182" s="121"/>
      <c r="B182" s="399"/>
      <c r="D182" s="123"/>
      <c r="E182" s="239"/>
      <c r="F182" s="125"/>
      <c r="G182" s="125"/>
      <c r="I182" s="126"/>
      <c r="J182" s="402"/>
      <c r="K182" s="401"/>
    </row>
    <row r="183">
      <c r="A183" s="121"/>
      <c r="B183" s="399"/>
      <c r="D183" s="123"/>
      <c r="E183" s="239"/>
      <c r="F183" s="125"/>
      <c r="G183" s="125"/>
      <c r="I183" s="126"/>
      <c r="J183" s="402"/>
      <c r="K183" s="401"/>
    </row>
    <row r="184">
      <c r="A184" s="121"/>
      <c r="B184" s="399"/>
      <c r="D184" s="123"/>
      <c r="E184" s="239"/>
      <c r="F184" s="125"/>
      <c r="G184" s="125"/>
      <c r="I184" s="126"/>
      <c r="J184" s="402"/>
      <c r="K184" s="401"/>
    </row>
    <row r="185">
      <c r="A185" s="121"/>
      <c r="B185" s="399"/>
      <c r="D185" s="123"/>
      <c r="E185" s="239"/>
      <c r="F185" s="125"/>
      <c r="G185" s="125"/>
      <c r="I185" s="126"/>
      <c r="J185" s="402"/>
      <c r="K185" s="401"/>
    </row>
    <row r="186">
      <c r="A186" s="121"/>
      <c r="B186" s="399"/>
      <c r="D186" s="123"/>
      <c r="E186" s="239"/>
      <c r="F186" s="125"/>
      <c r="G186" s="125"/>
      <c r="I186" s="126"/>
      <c r="J186" s="402"/>
      <c r="K186" s="401"/>
    </row>
    <row r="187">
      <c r="A187" s="121"/>
      <c r="B187" s="399"/>
      <c r="D187" s="123"/>
      <c r="E187" s="239"/>
      <c r="F187" s="125"/>
      <c r="G187" s="125"/>
      <c r="I187" s="126"/>
      <c r="J187" s="402"/>
      <c r="K187" s="401"/>
    </row>
    <row r="188">
      <c r="A188" s="121"/>
      <c r="B188" s="399"/>
      <c r="D188" s="123"/>
      <c r="E188" s="239"/>
      <c r="F188" s="125"/>
      <c r="G188" s="125"/>
      <c r="I188" s="126"/>
      <c r="J188" s="402"/>
      <c r="K188" s="401"/>
    </row>
    <row r="189">
      <c r="A189" s="121"/>
      <c r="B189" s="399"/>
      <c r="D189" s="123"/>
      <c r="E189" s="239"/>
      <c r="F189" s="125"/>
      <c r="G189" s="125"/>
      <c r="I189" s="126"/>
      <c r="J189" s="402"/>
      <c r="K189" s="401"/>
    </row>
    <row r="190">
      <c r="A190" s="121"/>
      <c r="B190" s="399"/>
      <c r="D190" s="123"/>
      <c r="E190" s="239"/>
      <c r="F190" s="125"/>
      <c r="G190" s="125"/>
      <c r="I190" s="126"/>
      <c r="J190" s="402"/>
      <c r="K190" s="401"/>
    </row>
    <row r="191">
      <c r="A191" s="121"/>
      <c r="B191" s="399"/>
      <c r="D191" s="123"/>
      <c r="E191" s="239"/>
      <c r="F191" s="125"/>
      <c r="G191" s="125"/>
      <c r="I191" s="126"/>
      <c r="J191" s="402"/>
      <c r="K191" s="401"/>
    </row>
    <row r="192">
      <c r="A192" s="121"/>
      <c r="B192" s="399"/>
      <c r="D192" s="123"/>
      <c r="E192" s="239"/>
      <c r="F192" s="125"/>
      <c r="G192" s="125"/>
      <c r="I192" s="126"/>
      <c r="J192" s="402"/>
      <c r="K192" s="401"/>
    </row>
    <row r="193">
      <c r="A193" s="121"/>
      <c r="B193" s="399"/>
      <c r="D193" s="123"/>
      <c r="E193" s="239"/>
      <c r="F193" s="125"/>
      <c r="G193" s="125"/>
      <c r="I193" s="126"/>
      <c r="J193" s="402"/>
      <c r="K193" s="401"/>
    </row>
    <row r="194">
      <c r="A194" s="121"/>
      <c r="B194" s="399"/>
      <c r="D194" s="123"/>
      <c r="E194" s="239"/>
      <c r="F194" s="125"/>
      <c r="G194" s="125"/>
      <c r="I194" s="126"/>
      <c r="J194" s="402"/>
      <c r="K194" s="401"/>
    </row>
    <row r="195">
      <c r="A195" s="121"/>
      <c r="B195" s="399"/>
      <c r="D195" s="123"/>
      <c r="E195" s="239"/>
      <c r="F195" s="125"/>
      <c r="G195" s="125"/>
      <c r="I195" s="126"/>
      <c r="J195" s="402"/>
      <c r="K195" s="401"/>
    </row>
    <row r="196">
      <c r="A196" s="121"/>
      <c r="B196" s="399"/>
      <c r="D196" s="123"/>
      <c r="E196" s="239"/>
      <c r="F196" s="125"/>
      <c r="G196" s="125"/>
      <c r="I196" s="126"/>
      <c r="J196" s="402"/>
      <c r="K196" s="401"/>
    </row>
    <row r="197">
      <c r="A197" s="121"/>
      <c r="B197" s="399"/>
      <c r="D197" s="123"/>
      <c r="E197" s="239"/>
      <c r="F197" s="125"/>
      <c r="G197" s="125"/>
      <c r="I197" s="126"/>
      <c r="J197" s="402"/>
      <c r="K197" s="401"/>
    </row>
    <row r="198">
      <c r="A198" s="121"/>
      <c r="B198" s="399"/>
      <c r="D198" s="123"/>
      <c r="E198" s="239"/>
      <c r="F198" s="125"/>
      <c r="G198" s="125"/>
      <c r="I198" s="126"/>
      <c r="J198" s="402"/>
      <c r="K198" s="401"/>
    </row>
    <row r="199">
      <c r="A199" s="121"/>
      <c r="B199" s="399"/>
      <c r="D199" s="123"/>
      <c r="E199" s="239"/>
      <c r="F199" s="125"/>
      <c r="G199" s="125"/>
      <c r="I199" s="126"/>
      <c r="J199" s="402"/>
      <c r="K199" s="401"/>
    </row>
    <row r="200">
      <c r="A200" s="121"/>
      <c r="B200" s="399"/>
      <c r="D200" s="123"/>
      <c r="E200" s="239"/>
      <c r="F200" s="125"/>
      <c r="G200" s="125"/>
      <c r="I200" s="126"/>
      <c r="J200" s="402"/>
      <c r="K200" s="401"/>
    </row>
    <row r="201">
      <c r="A201" s="121"/>
      <c r="B201" s="399"/>
      <c r="D201" s="123"/>
      <c r="E201" s="239"/>
      <c r="F201" s="125"/>
      <c r="G201" s="125"/>
      <c r="I201" s="126"/>
      <c r="J201" s="402"/>
      <c r="K201" s="401"/>
    </row>
    <row r="202">
      <c r="A202" s="121"/>
      <c r="B202" s="399"/>
      <c r="D202" s="123"/>
      <c r="E202" s="239"/>
      <c r="F202" s="125"/>
      <c r="G202" s="125"/>
      <c r="I202" s="126"/>
      <c r="J202" s="402"/>
      <c r="K202" s="401"/>
    </row>
    <row r="203">
      <c r="A203" s="121"/>
      <c r="B203" s="399"/>
      <c r="D203" s="123"/>
      <c r="E203" s="239"/>
      <c r="F203" s="125"/>
      <c r="G203" s="125"/>
      <c r="I203" s="126"/>
      <c r="J203" s="402"/>
      <c r="K203" s="401"/>
    </row>
    <row r="204">
      <c r="A204" s="121"/>
      <c r="B204" s="399"/>
      <c r="D204" s="123"/>
      <c r="E204" s="239"/>
      <c r="F204" s="125"/>
      <c r="G204" s="125"/>
      <c r="I204" s="126"/>
      <c r="J204" s="402"/>
      <c r="K204" s="401"/>
    </row>
    <row r="205">
      <c r="A205" s="121"/>
      <c r="B205" s="399"/>
      <c r="D205" s="123"/>
      <c r="E205" s="239"/>
      <c r="F205" s="125"/>
      <c r="G205" s="125"/>
      <c r="I205" s="126"/>
      <c r="J205" s="402"/>
      <c r="K205" s="401"/>
    </row>
    <row r="206">
      <c r="A206" s="121"/>
      <c r="B206" s="399"/>
      <c r="D206" s="123"/>
      <c r="E206" s="239"/>
      <c r="F206" s="125"/>
      <c r="G206" s="125"/>
      <c r="I206" s="126"/>
      <c r="J206" s="402"/>
      <c r="K206" s="401"/>
    </row>
    <row r="207">
      <c r="A207" s="121"/>
      <c r="B207" s="399"/>
      <c r="D207" s="123"/>
      <c r="E207" s="239"/>
      <c r="F207" s="125"/>
      <c r="G207" s="125"/>
      <c r="I207" s="126"/>
      <c r="J207" s="402"/>
      <c r="K207" s="401"/>
    </row>
    <row r="208">
      <c r="A208" s="121"/>
      <c r="B208" s="399"/>
      <c r="D208" s="123"/>
      <c r="E208" s="239"/>
      <c r="F208" s="125"/>
      <c r="G208" s="125"/>
      <c r="I208" s="126"/>
      <c r="J208" s="402"/>
      <c r="K208" s="401"/>
    </row>
    <row r="209">
      <c r="A209" s="121"/>
      <c r="B209" s="399"/>
      <c r="D209" s="123"/>
      <c r="E209" s="239"/>
      <c r="F209" s="125"/>
      <c r="G209" s="125"/>
      <c r="I209" s="126"/>
      <c r="J209" s="402"/>
      <c r="K209" s="401"/>
    </row>
    <row r="210">
      <c r="A210" s="121"/>
      <c r="B210" s="399"/>
      <c r="D210" s="123"/>
      <c r="E210" s="239"/>
      <c r="F210" s="125"/>
      <c r="G210" s="125"/>
      <c r="I210" s="126"/>
      <c r="J210" s="402"/>
      <c r="K210" s="401"/>
    </row>
    <row r="211">
      <c r="A211" s="121"/>
      <c r="B211" s="399"/>
      <c r="D211" s="123"/>
      <c r="E211" s="239"/>
      <c r="F211" s="125"/>
      <c r="G211" s="125"/>
      <c r="I211" s="126"/>
      <c r="J211" s="402"/>
      <c r="K211" s="401"/>
    </row>
    <row r="212">
      <c r="A212" s="121"/>
      <c r="B212" s="399"/>
      <c r="D212" s="123"/>
      <c r="E212" s="239"/>
      <c r="F212" s="125"/>
      <c r="G212" s="125"/>
      <c r="I212" s="126"/>
      <c r="J212" s="402"/>
      <c r="K212" s="401"/>
    </row>
    <row r="213">
      <c r="A213" s="121"/>
      <c r="B213" s="399"/>
      <c r="D213" s="123"/>
      <c r="E213" s="239"/>
      <c r="F213" s="125"/>
      <c r="G213" s="125"/>
      <c r="I213" s="126"/>
      <c r="J213" s="402"/>
      <c r="K213" s="401"/>
    </row>
    <row r="214">
      <c r="A214" s="121"/>
      <c r="B214" s="399"/>
      <c r="D214" s="123"/>
      <c r="E214" s="239"/>
      <c r="F214" s="125"/>
      <c r="G214" s="125"/>
      <c r="I214" s="126"/>
      <c r="J214" s="402"/>
      <c r="K214" s="401"/>
    </row>
    <row r="215">
      <c r="A215" s="121"/>
      <c r="B215" s="399"/>
      <c r="D215" s="123"/>
      <c r="E215" s="239"/>
      <c r="F215" s="125"/>
      <c r="G215" s="125"/>
      <c r="I215" s="126"/>
      <c r="J215" s="402"/>
      <c r="K215" s="401"/>
    </row>
    <row r="216">
      <c r="A216" s="121"/>
      <c r="B216" s="399"/>
      <c r="D216" s="123"/>
      <c r="E216" s="239"/>
      <c r="F216" s="125"/>
      <c r="G216" s="125"/>
      <c r="I216" s="126"/>
      <c r="J216" s="402"/>
      <c r="K216" s="401"/>
    </row>
    <row r="217">
      <c r="A217" s="121"/>
      <c r="B217" s="399"/>
      <c r="D217" s="123"/>
      <c r="E217" s="239"/>
      <c r="F217" s="125"/>
      <c r="G217" s="125"/>
      <c r="I217" s="126"/>
      <c r="J217" s="402"/>
      <c r="K217" s="401"/>
    </row>
    <row r="218">
      <c r="A218" s="121"/>
      <c r="B218" s="399"/>
      <c r="D218" s="123"/>
      <c r="E218" s="239"/>
      <c r="F218" s="125"/>
      <c r="G218" s="125"/>
      <c r="I218" s="126"/>
      <c r="J218" s="402"/>
      <c r="K218" s="401"/>
    </row>
    <row r="219">
      <c r="A219" s="121"/>
      <c r="B219" s="399"/>
      <c r="D219" s="123"/>
      <c r="E219" s="239"/>
      <c r="F219" s="125"/>
      <c r="G219" s="125"/>
      <c r="I219" s="126"/>
      <c r="J219" s="402"/>
      <c r="K219" s="401"/>
    </row>
    <row r="220">
      <c r="A220" s="121"/>
      <c r="B220" s="399"/>
      <c r="D220" s="123"/>
      <c r="E220" s="239"/>
      <c r="F220" s="125"/>
      <c r="G220" s="125"/>
      <c r="I220" s="126"/>
      <c r="J220" s="402"/>
      <c r="K220" s="401"/>
    </row>
    <row r="221">
      <c r="A221" s="121"/>
      <c r="B221" s="399"/>
      <c r="D221" s="123"/>
      <c r="E221" s="239"/>
      <c r="F221" s="125"/>
      <c r="G221" s="125"/>
      <c r="I221" s="126"/>
      <c r="J221" s="402"/>
      <c r="K221" s="401"/>
    </row>
    <row r="222">
      <c r="A222" s="121"/>
      <c r="B222" s="399"/>
      <c r="D222" s="123"/>
      <c r="E222" s="239"/>
      <c r="F222" s="125"/>
      <c r="G222" s="125"/>
      <c r="I222" s="126"/>
      <c r="J222" s="402"/>
      <c r="K222" s="401"/>
    </row>
    <row r="223">
      <c r="A223" s="121"/>
      <c r="B223" s="399"/>
      <c r="D223" s="123"/>
      <c r="E223" s="239"/>
      <c r="F223" s="125"/>
      <c r="G223" s="125"/>
      <c r="I223" s="126"/>
      <c r="J223" s="402"/>
      <c r="K223" s="401"/>
    </row>
    <row r="224">
      <c r="A224" s="121"/>
      <c r="B224" s="399"/>
      <c r="D224" s="123"/>
      <c r="E224" s="239"/>
      <c r="F224" s="125"/>
      <c r="G224" s="125"/>
      <c r="I224" s="126"/>
      <c r="J224" s="402"/>
      <c r="K224" s="401"/>
    </row>
    <row r="225">
      <c r="A225" s="121"/>
      <c r="B225" s="399"/>
      <c r="D225" s="123"/>
      <c r="E225" s="239"/>
      <c r="F225" s="125"/>
      <c r="G225" s="125"/>
      <c r="I225" s="126"/>
      <c r="J225" s="402"/>
      <c r="K225" s="401"/>
    </row>
    <row r="226">
      <c r="A226" s="121"/>
      <c r="B226" s="399"/>
      <c r="D226" s="123"/>
      <c r="E226" s="239"/>
      <c r="F226" s="125"/>
      <c r="G226" s="125"/>
      <c r="I226" s="126"/>
      <c r="J226" s="402"/>
      <c r="K226" s="401"/>
    </row>
    <row r="227">
      <c r="A227" s="121"/>
      <c r="B227" s="399"/>
      <c r="D227" s="123"/>
      <c r="E227" s="239"/>
      <c r="F227" s="125"/>
      <c r="G227" s="125"/>
      <c r="I227" s="126"/>
      <c r="J227" s="402"/>
      <c r="K227" s="401"/>
    </row>
    <row r="228">
      <c r="A228" s="121"/>
      <c r="B228" s="399"/>
      <c r="D228" s="123"/>
      <c r="E228" s="239"/>
      <c r="F228" s="125"/>
      <c r="G228" s="125"/>
      <c r="I228" s="126"/>
      <c r="J228" s="402"/>
      <c r="K228" s="401"/>
    </row>
    <row r="229">
      <c r="A229" s="121"/>
      <c r="B229" s="399"/>
      <c r="D229" s="123"/>
      <c r="E229" s="239"/>
      <c r="F229" s="125"/>
      <c r="G229" s="125"/>
      <c r="I229" s="126"/>
      <c r="J229" s="402"/>
      <c r="K229" s="401"/>
    </row>
    <row r="230">
      <c r="A230" s="121"/>
      <c r="B230" s="399"/>
      <c r="D230" s="123"/>
      <c r="E230" s="239"/>
      <c r="F230" s="125"/>
      <c r="G230" s="125"/>
      <c r="I230" s="126"/>
      <c r="J230" s="402"/>
      <c r="K230" s="401"/>
    </row>
    <row r="231">
      <c r="A231" s="121"/>
      <c r="B231" s="399"/>
      <c r="D231" s="123"/>
      <c r="E231" s="239"/>
      <c r="F231" s="125"/>
      <c r="G231" s="125"/>
      <c r="I231" s="126"/>
      <c r="J231" s="402"/>
      <c r="K231" s="401"/>
    </row>
    <row r="232">
      <c r="A232" s="121"/>
      <c r="B232" s="399"/>
      <c r="D232" s="123"/>
      <c r="E232" s="239"/>
      <c r="F232" s="125"/>
      <c r="G232" s="125"/>
      <c r="I232" s="126"/>
      <c r="J232" s="402"/>
      <c r="K232" s="401"/>
    </row>
    <row r="233">
      <c r="A233" s="121"/>
      <c r="B233" s="399"/>
      <c r="D233" s="123"/>
      <c r="E233" s="239"/>
      <c r="F233" s="125"/>
      <c r="G233" s="125"/>
      <c r="I233" s="126"/>
      <c r="J233" s="402"/>
      <c r="K233" s="401"/>
    </row>
    <row r="234">
      <c r="A234" s="121"/>
      <c r="B234" s="399"/>
      <c r="D234" s="123"/>
      <c r="E234" s="239"/>
      <c r="F234" s="125"/>
      <c r="G234" s="125"/>
      <c r="I234" s="126"/>
      <c r="J234" s="402"/>
      <c r="K234" s="401"/>
    </row>
    <row r="235">
      <c r="A235" s="121"/>
      <c r="B235" s="399"/>
      <c r="D235" s="123"/>
      <c r="E235" s="239"/>
      <c r="F235" s="125"/>
      <c r="G235" s="125"/>
      <c r="I235" s="126"/>
      <c r="J235" s="402"/>
      <c r="K235" s="401"/>
    </row>
    <row r="236">
      <c r="A236" s="121"/>
      <c r="B236" s="399"/>
      <c r="D236" s="123"/>
      <c r="E236" s="239"/>
      <c r="F236" s="125"/>
      <c r="G236" s="125"/>
      <c r="I236" s="126"/>
      <c r="J236" s="402"/>
      <c r="K236" s="401"/>
    </row>
    <row r="237">
      <c r="A237" s="121"/>
      <c r="B237" s="399"/>
      <c r="D237" s="123"/>
      <c r="E237" s="239"/>
      <c r="F237" s="125"/>
      <c r="G237" s="125"/>
      <c r="I237" s="126"/>
      <c r="J237" s="402"/>
      <c r="K237" s="401"/>
    </row>
    <row r="238">
      <c r="A238" s="121"/>
      <c r="B238" s="399"/>
      <c r="D238" s="123"/>
      <c r="E238" s="239"/>
      <c r="F238" s="125"/>
      <c r="G238" s="125"/>
      <c r="I238" s="126"/>
      <c r="J238" s="402"/>
      <c r="K238" s="401"/>
    </row>
    <row r="239">
      <c r="A239" s="121"/>
      <c r="B239" s="399"/>
      <c r="D239" s="123"/>
      <c r="E239" s="239"/>
      <c r="F239" s="125"/>
      <c r="G239" s="125"/>
      <c r="I239" s="126"/>
      <c r="J239" s="402"/>
      <c r="K239" s="401"/>
    </row>
    <row r="240">
      <c r="A240" s="121"/>
      <c r="B240" s="399"/>
      <c r="D240" s="123"/>
      <c r="E240" s="239"/>
      <c r="F240" s="125"/>
      <c r="G240" s="125"/>
      <c r="I240" s="126"/>
      <c r="J240" s="402"/>
      <c r="K240" s="401"/>
    </row>
    <row r="241">
      <c r="A241" s="121"/>
      <c r="B241" s="399"/>
      <c r="D241" s="123"/>
      <c r="E241" s="123"/>
      <c r="F241" s="125"/>
      <c r="G241" s="125"/>
      <c r="I241" s="126"/>
      <c r="J241" s="402"/>
      <c r="K241" s="401"/>
    </row>
    <row r="242">
      <c r="A242" s="121"/>
      <c r="B242" s="399"/>
      <c r="D242" s="123"/>
      <c r="E242" s="123"/>
      <c r="F242" s="125"/>
      <c r="G242" s="125"/>
      <c r="I242" s="126"/>
      <c r="J242" s="402"/>
      <c r="K242" s="401"/>
    </row>
    <row r="243">
      <c r="A243" s="121"/>
      <c r="B243" s="399"/>
      <c r="D243" s="123"/>
      <c r="E243" s="123"/>
      <c r="F243" s="125"/>
      <c r="G243" s="125"/>
      <c r="I243" s="126"/>
      <c r="J243" s="402"/>
      <c r="K243" s="401"/>
    </row>
    <row r="244">
      <c r="A244" s="121"/>
      <c r="B244" s="399"/>
      <c r="D244" s="123"/>
      <c r="E244" s="123"/>
      <c r="F244" s="125"/>
      <c r="G244" s="125"/>
      <c r="I244" s="126"/>
      <c r="J244" s="402"/>
      <c r="K244" s="401"/>
    </row>
    <row r="245">
      <c r="A245" s="121"/>
      <c r="B245" s="399"/>
      <c r="D245" s="123"/>
      <c r="E245" s="123"/>
      <c r="F245" s="125"/>
      <c r="G245" s="125"/>
      <c r="I245" s="126"/>
      <c r="J245" s="402"/>
      <c r="K245" s="401"/>
    </row>
    <row r="246">
      <c r="A246" s="121"/>
      <c r="B246" s="399"/>
      <c r="D246" s="123"/>
      <c r="E246" s="123"/>
      <c r="F246" s="125"/>
      <c r="G246" s="125"/>
      <c r="I246" s="126"/>
      <c r="J246" s="402"/>
      <c r="K246" s="401"/>
    </row>
    <row r="247">
      <c r="A247" s="121"/>
      <c r="B247" s="399"/>
      <c r="D247" s="123"/>
      <c r="E247" s="123"/>
      <c r="F247" s="125"/>
      <c r="G247" s="125"/>
      <c r="I247" s="126"/>
      <c r="J247" s="402"/>
      <c r="K247" s="401"/>
    </row>
    <row r="248">
      <c r="A248" s="121"/>
      <c r="B248" s="399"/>
      <c r="D248" s="123"/>
      <c r="E248" s="123"/>
      <c r="F248" s="125"/>
      <c r="G248" s="125"/>
      <c r="I248" s="126"/>
      <c r="J248" s="402"/>
      <c r="K248" s="401"/>
    </row>
    <row r="249">
      <c r="A249" s="121"/>
      <c r="B249" s="399"/>
      <c r="D249" s="123"/>
      <c r="E249" s="123"/>
      <c r="F249" s="125"/>
      <c r="G249" s="125"/>
      <c r="I249" s="126"/>
      <c r="J249" s="402"/>
      <c r="K249" s="401"/>
    </row>
    <row r="250">
      <c r="A250" s="121"/>
      <c r="B250" s="399"/>
      <c r="D250" s="123"/>
      <c r="E250" s="123"/>
      <c r="F250" s="125"/>
      <c r="G250" s="125"/>
      <c r="I250" s="126"/>
      <c r="J250" s="402"/>
      <c r="K250" s="401"/>
    </row>
    <row r="251">
      <c r="A251" s="121"/>
      <c r="B251" s="399"/>
      <c r="D251" s="123"/>
      <c r="E251" s="123"/>
      <c r="F251" s="125"/>
      <c r="G251" s="125"/>
      <c r="I251" s="126"/>
      <c r="J251" s="402"/>
      <c r="K251" s="401"/>
    </row>
    <row r="252">
      <c r="A252" s="121"/>
      <c r="B252" s="399"/>
      <c r="D252" s="123"/>
      <c r="E252" s="123"/>
      <c r="F252" s="125"/>
      <c r="G252" s="125"/>
      <c r="I252" s="126"/>
      <c r="J252" s="402"/>
      <c r="K252" s="401"/>
    </row>
    <row r="253">
      <c r="A253" s="121"/>
      <c r="B253" s="399"/>
      <c r="D253" s="123"/>
      <c r="E253" s="123"/>
      <c r="F253" s="125"/>
      <c r="G253" s="125"/>
      <c r="I253" s="126"/>
      <c r="J253" s="402"/>
      <c r="K253" s="401"/>
    </row>
    <row r="254">
      <c r="A254" s="121"/>
      <c r="B254" s="399"/>
      <c r="D254" s="123"/>
      <c r="E254" s="123"/>
      <c r="F254" s="125"/>
      <c r="G254" s="125"/>
      <c r="I254" s="126"/>
      <c r="J254" s="402"/>
      <c r="K254" s="401"/>
    </row>
    <row r="255">
      <c r="A255" s="121"/>
      <c r="B255" s="399"/>
      <c r="D255" s="123"/>
      <c r="E255" s="123"/>
      <c r="F255" s="125"/>
      <c r="G255" s="125"/>
      <c r="I255" s="126"/>
      <c r="J255" s="402"/>
      <c r="K255" s="401"/>
    </row>
    <row r="256">
      <c r="A256" s="121"/>
      <c r="B256" s="399"/>
      <c r="D256" s="123"/>
      <c r="E256" s="123"/>
      <c r="F256" s="125"/>
      <c r="G256" s="125"/>
      <c r="I256" s="126"/>
      <c r="J256" s="402"/>
      <c r="K256" s="401"/>
    </row>
    <row r="257">
      <c r="A257" s="121"/>
      <c r="B257" s="399"/>
      <c r="D257" s="123"/>
      <c r="E257" s="123"/>
      <c r="F257" s="125"/>
      <c r="G257" s="125"/>
      <c r="I257" s="126"/>
      <c r="J257" s="402"/>
      <c r="K257" s="401"/>
    </row>
    <row r="258">
      <c r="A258" s="121"/>
      <c r="B258" s="399"/>
      <c r="D258" s="123"/>
      <c r="E258" s="123"/>
      <c r="F258" s="125"/>
      <c r="G258" s="125"/>
      <c r="I258" s="126"/>
      <c r="J258" s="402"/>
      <c r="K258" s="401"/>
    </row>
    <row r="259">
      <c r="A259" s="121"/>
      <c r="B259" s="399"/>
      <c r="D259" s="123"/>
      <c r="E259" s="123"/>
      <c r="F259" s="125"/>
      <c r="G259" s="125"/>
      <c r="I259" s="126"/>
      <c r="J259" s="402"/>
      <c r="K259" s="401"/>
    </row>
    <row r="260">
      <c r="A260" s="121"/>
      <c r="B260" s="399"/>
      <c r="D260" s="123"/>
      <c r="E260" s="123"/>
      <c r="F260" s="125"/>
      <c r="G260" s="125"/>
      <c r="I260" s="126"/>
      <c r="J260" s="402"/>
      <c r="K260" s="401"/>
    </row>
    <row r="261">
      <c r="A261" s="121"/>
      <c r="B261" s="399"/>
      <c r="D261" s="123"/>
      <c r="E261" s="123"/>
      <c r="F261" s="125"/>
      <c r="G261" s="125"/>
      <c r="I261" s="126"/>
      <c r="J261" s="402"/>
      <c r="K261" s="401"/>
    </row>
    <row r="262">
      <c r="A262" s="121"/>
      <c r="B262" s="399"/>
      <c r="D262" s="123"/>
      <c r="E262" s="123"/>
      <c r="F262" s="125"/>
      <c r="G262" s="125"/>
      <c r="I262" s="126"/>
      <c r="J262" s="402"/>
      <c r="K262" s="401"/>
    </row>
    <row r="263">
      <c r="A263" s="121"/>
      <c r="B263" s="399"/>
      <c r="D263" s="123"/>
      <c r="E263" s="123"/>
      <c r="F263" s="125"/>
      <c r="G263" s="125"/>
      <c r="I263" s="126"/>
      <c r="J263" s="402"/>
      <c r="K263" s="401"/>
    </row>
    <row r="264">
      <c r="A264" s="121"/>
      <c r="B264" s="399"/>
      <c r="D264" s="123"/>
      <c r="E264" s="123"/>
      <c r="F264" s="125"/>
      <c r="G264" s="125"/>
      <c r="I264" s="126"/>
      <c r="J264" s="402"/>
      <c r="K264" s="401"/>
    </row>
    <row r="265">
      <c r="A265" s="121"/>
      <c r="B265" s="399"/>
      <c r="D265" s="123"/>
      <c r="E265" s="123"/>
      <c r="F265" s="125"/>
      <c r="G265" s="125"/>
      <c r="I265" s="126"/>
      <c r="J265" s="402"/>
      <c r="K265" s="401"/>
    </row>
    <row r="266">
      <c r="A266" s="121"/>
      <c r="B266" s="399"/>
      <c r="D266" s="123"/>
      <c r="E266" s="123"/>
      <c r="F266" s="125"/>
      <c r="G266" s="125"/>
      <c r="I266" s="126"/>
      <c r="J266" s="402"/>
      <c r="K266" s="401"/>
    </row>
    <row r="267">
      <c r="A267" s="121"/>
      <c r="B267" s="399"/>
      <c r="D267" s="123"/>
      <c r="E267" s="123"/>
      <c r="F267" s="125"/>
      <c r="G267" s="125"/>
      <c r="I267" s="126"/>
      <c r="J267" s="402"/>
      <c r="K267" s="401"/>
    </row>
    <row r="268">
      <c r="A268" s="121"/>
      <c r="B268" s="399"/>
      <c r="D268" s="123"/>
      <c r="E268" s="123"/>
      <c r="F268" s="125"/>
      <c r="G268" s="125"/>
      <c r="I268" s="126"/>
      <c r="J268" s="402"/>
      <c r="K268" s="401"/>
    </row>
    <row r="269">
      <c r="A269" s="121"/>
      <c r="B269" s="399"/>
      <c r="D269" s="123"/>
      <c r="E269" s="123"/>
      <c r="F269" s="125"/>
      <c r="G269" s="125"/>
      <c r="I269" s="126"/>
      <c r="J269" s="402"/>
      <c r="K269" s="401"/>
    </row>
    <row r="270">
      <c r="A270" s="121"/>
      <c r="B270" s="399"/>
      <c r="D270" s="123"/>
      <c r="E270" s="123"/>
      <c r="F270" s="125"/>
      <c r="G270" s="125"/>
      <c r="I270" s="126"/>
      <c r="J270" s="402"/>
      <c r="K270" s="401"/>
    </row>
    <row r="271">
      <c r="A271" s="121"/>
      <c r="B271" s="399"/>
      <c r="D271" s="123"/>
      <c r="E271" s="123"/>
      <c r="F271" s="125"/>
      <c r="G271" s="125"/>
      <c r="I271" s="126"/>
      <c r="J271" s="402"/>
      <c r="K271" s="401"/>
    </row>
    <row r="272">
      <c r="A272" s="121"/>
      <c r="B272" s="399"/>
      <c r="D272" s="123"/>
      <c r="E272" s="123"/>
      <c r="F272" s="125"/>
      <c r="G272" s="125"/>
      <c r="I272" s="126"/>
      <c r="J272" s="402"/>
      <c r="K272" s="401"/>
    </row>
    <row r="273">
      <c r="A273" s="121"/>
      <c r="B273" s="399"/>
      <c r="D273" s="123"/>
      <c r="E273" s="123"/>
      <c r="F273" s="125"/>
      <c r="G273" s="125"/>
      <c r="I273" s="126"/>
      <c r="J273" s="402"/>
      <c r="K273" s="401"/>
    </row>
    <row r="274">
      <c r="A274" s="121"/>
      <c r="B274" s="399"/>
      <c r="D274" s="123"/>
      <c r="E274" s="123"/>
      <c r="F274" s="125"/>
      <c r="G274" s="125"/>
      <c r="I274" s="126"/>
      <c r="J274" s="402"/>
      <c r="K274" s="401"/>
    </row>
    <row r="275">
      <c r="A275" s="121"/>
      <c r="B275" s="399"/>
      <c r="D275" s="123"/>
      <c r="E275" s="123"/>
      <c r="F275" s="125"/>
      <c r="G275" s="125"/>
      <c r="I275" s="126"/>
      <c r="J275" s="402"/>
      <c r="K275" s="401"/>
    </row>
    <row r="276">
      <c r="A276" s="121"/>
      <c r="B276" s="399"/>
      <c r="D276" s="123"/>
      <c r="E276" s="123"/>
      <c r="F276" s="125"/>
      <c r="G276" s="125"/>
      <c r="I276" s="126"/>
      <c r="J276" s="402"/>
      <c r="K276" s="401"/>
    </row>
    <row r="277">
      <c r="A277" s="121"/>
      <c r="B277" s="399"/>
      <c r="D277" s="123"/>
      <c r="E277" s="123"/>
      <c r="F277" s="125"/>
      <c r="G277" s="125"/>
      <c r="I277" s="126"/>
      <c r="J277" s="402"/>
      <c r="K277" s="401"/>
    </row>
    <row r="278">
      <c r="A278" s="121"/>
      <c r="B278" s="399"/>
      <c r="D278" s="123"/>
      <c r="E278" s="123"/>
      <c r="F278" s="125"/>
      <c r="G278" s="125"/>
      <c r="I278" s="126"/>
      <c r="J278" s="402"/>
      <c r="K278" s="401"/>
    </row>
    <row r="279">
      <c r="A279" s="121"/>
      <c r="B279" s="399"/>
      <c r="D279" s="123"/>
      <c r="E279" s="123"/>
      <c r="F279" s="125"/>
      <c r="G279" s="125"/>
      <c r="I279" s="126"/>
      <c r="J279" s="402"/>
      <c r="K279" s="401"/>
    </row>
    <row r="280">
      <c r="A280" s="121"/>
      <c r="B280" s="399"/>
      <c r="D280" s="123"/>
      <c r="E280" s="123"/>
      <c r="F280" s="125"/>
      <c r="G280" s="125"/>
      <c r="I280" s="126"/>
      <c r="J280" s="402"/>
      <c r="K280" s="401"/>
    </row>
    <row r="281">
      <c r="A281" s="121"/>
      <c r="B281" s="399"/>
      <c r="D281" s="123"/>
      <c r="E281" s="123"/>
      <c r="F281" s="125"/>
      <c r="G281" s="125"/>
      <c r="I281" s="126"/>
      <c r="J281" s="402"/>
      <c r="K281" s="401"/>
    </row>
    <row r="282">
      <c r="A282" s="121"/>
      <c r="B282" s="399"/>
      <c r="D282" s="123"/>
      <c r="E282" s="123"/>
      <c r="F282" s="125"/>
      <c r="G282" s="125"/>
      <c r="I282" s="126"/>
      <c r="J282" s="402"/>
      <c r="K282" s="401"/>
    </row>
    <row r="283">
      <c r="A283" s="121"/>
      <c r="B283" s="399"/>
      <c r="D283" s="123"/>
      <c r="E283" s="123"/>
      <c r="F283" s="125"/>
      <c r="G283" s="125"/>
      <c r="I283" s="126"/>
      <c r="J283" s="402"/>
      <c r="K283" s="401"/>
    </row>
    <row r="284">
      <c r="A284" s="121"/>
      <c r="B284" s="399"/>
      <c r="D284" s="123"/>
      <c r="E284" s="123"/>
      <c r="F284" s="125"/>
      <c r="G284" s="125"/>
      <c r="I284" s="126"/>
      <c r="J284" s="402"/>
      <c r="K284" s="401"/>
    </row>
    <row r="285">
      <c r="A285" s="121"/>
      <c r="B285" s="399"/>
      <c r="D285" s="123"/>
      <c r="E285" s="123"/>
      <c r="F285" s="125"/>
      <c r="G285" s="125"/>
      <c r="I285" s="126"/>
      <c r="J285" s="402"/>
      <c r="K285" s="401"/>
    </row>
    <row r="286">
      <c r="A286" s="121"/>
      <c r="B286" s="399"/>
      <c r="D286" s="123"/>
      <c r="E286" s="123"/>
      <c r="F286" s="125"/>
      <c r="G286" s="125"/>
      <c r="I286" s="126"/>
      <c r="J286" s="402"/>
      <c r="K286" s="401"/>
    </row>
    <row r="287">
      <c r="A287" s="121"/>
      <c r="B287" s="399"/>
      <c r="D287" s="123"/>
      <c r="E287" s="123"/>
      <c r="F287" s="125"/>
      <c r="G287" s="125"/>
      <c r="I287" s="126"/>
      <c r="J287" s="402"/>
      <c r="K287" s="401"/>
    </row>
    <row r="288">
      <c r="A288" s="121"/>
      <c r="B288" s="399"/>
      <c r="D288" s="123"/>
      <c r="E288" s="123"/>
      <c r="F288" s="125"/>
      <c r="G288" s="125"/>
      <c r="I288" s="126"/>
      <c r="J288" s="402"/>
      <c r="K288" s="401"/>
    </row>
    <row r="289">
      <c r="A289" s="121"/>
      <c r="B289" s="399"/>
      <c r="D289" s="123"/>
      <c r="E289" s="123"/>
      <c r="F289" s="125"/>
      <c r="G289" s="125"/>
      <c r="I289" s="126"/>
      <c r="J289" s="402"/>
      <c r="K289" s="401"/>
    </row>
    <row r="290">
      <c r="A290" s="121"/>
      <c r="B290" s="399"/>
      <c r="D290" s="123"/>
      <c r="E290" s="123"/>
      <c r="F290" s="125"/>
      <c r="G290" s="125"/>
      <c r="I290" s="126"/>
      <c r="J290" s="402"/>
      <c r="K290" s="401"/>
    </row>
    <row r="291">
      <c r="A291" s="121"/>
      <c r="B291" s="399"/>
      <c r="D291" s="123"/>
      <c r="E291" s="123"/>
      <c r="F291" s="125"/>
      <c r="G291" s="125"/>
      <c r="I291" s="126"/>
      <c r="J291" s="402"/>
      <c r="K291" s="401"/>
    </row>
    <row r="292">
      <c r="A292" s="121"/>
      <c r="B292" s="399"/>
      <c r="D292" s="123"/>
      <c r="E292" s="123"/>
      <c r="F292" s="125"/>
      <c r="G292" s="125"/>
      <c r="I292" s="126"/>
      <c r="J292" s="402"/>
      <c r="K292" s="401"/>
    </row>
    <row r="293">
      <c r="A293" s="121"/>
      <c r="B293" s="399"/>
      <c r="D293" s="123"/>
      <c r="E293" s="123"/>
      <c r="F293" s="125"/>
      <c r="G293" s="125"/>
      <c r="I293" s="126"/>
      <c r="J293" s="402"/>
      <c r="K293" s="401"/>
    </row>
    <row r="294">
      <c r="A294" s="121"/>
      <c r="B294" s="399"/>
      <c r="D294" s="123"/>
      <c r="E294" s="123"/>
      <c r="F294" s="125"/>
      <c r="G294" s="125"/>
      <c r="I294" s="126"/>
      <c r="J294" s="402"/>
      <c r="K294" s="401"/>
    </row>
    <row r="295">
      <c r="A295" s="121"/>
      <c r="B295" s="399"/>
      <c r="D295" s="123"/>
      <c r="E295" s="123"/>
      <c r="F295" s="125"/>
      <c r="G295" s="125"/>
      <c r="I295" s="126"/>
      <c r="J295" s="402"/>
      <c r="K295" s="401"/>
    </row>
    <row r="296">
      <c r="A296" s="121"/>
      <c r="B296" s="399"/>
      <c r="D296" s="123"/>
      <c r="E296" s="123"/>
      <c r="F296" s="125"/>
      <c r="G296" s="125"/>
      <c r="I296" s="126"/>
      <c r="J296" s="402"/>
      <c r="K296" s="401"/>
    </row>
    <row r="297">
      <c r="A297" s="121"/>
      <c r="B297" s="399"/>
      <c r="D297" s="123"/>
      <c r="E297" s="123"/>
      <c r="F297" s="125"/>
      <c r="G297" s="125"/>
      <c r="I297" s="126"/>
      <c r="J297" s="402"/>
      <c r="K297" s="401"/>
    </row>
    <row r="298">
      <c r="A298" s="121"/>
      <c r="B298" s="399"/>
      <c r="D298" s="123"/>
      <c r="E298" s="123"/>
      <c r="F298" s="125"/>
      <c r="G298" s="125"/>
      <c r="I298" s="126"/>
      <c r="J298" s="402"/>
      <c r="K298" s="401"/>
    </row>
    <row r="299">
      <c r="A299" s="121"/>
      <c r="B299" s="399"/>
      <c r="D299" s="123"/>
      <c r="E299" s="123"/>
      <c r="F299" s="125"/>
      <c r="G299" s="125"/>
      <c r="I299" s="126"/>
      <c r="J299" s="402"/>
      <c r="K299" s="401"/>
    </row>
    <row r="300">
      <c r="A300" s="121"/>
      <c r="B300" s="399"/>
      <c r="D300" s="123"/>
      <c r="E300" s="123"/>
      <c r="F300" s="125"/>
      <c r="G300" s="125"/>
      <c r="I300" s="126"/>
      <c r="J300" s="402"/>
      <c r="K300" s="401"/>
    </row>
    <row r="301">
      <c r="A301" s="121"/>
      <c r="B301" s="399"/>
      <c r="D301" s="123"/>
      <c r="E301" s="123"/>
      <c r="F301" s="125"/>
      <c r="G301" s="125"/>
      <c r="I301" s="126"/>
      <c r="J301" s="402"/>
      <c r="K301" s="401"/>
    </row>
    <row r="302">
      <c r="A302" s="121"/>
      <c r="B302" s="399"/>
      <c r="D302" s="123"/>
      <c r="E302" s="123"/>
      <c r="F302" s="125"/>
      <c r="G302" s="125"/>
      <c r="I302" s="126"/>
      <c r="J302" s="402"/>
      <c r="K302" s="401"/>
    </row>
    <row r="303">
      <c r="A303" s="121"/>
      <c r="B303" s="399"/>
      <c r="D303" s="123"/>
      <c r="E303" s="123"/>
      <c r="F303" s="125"/>
      <c r="G303" s="125"/>
      <c r="I303" s="126"/>
      <c r="J303" s="402"/>
      <c r="K303" s="401"/>
    </row>
    <row r="304">
      <c r="A304" s="121"/>
      <c r="B304" s="399"/>
      <c r="D304" s="123"/>
      <c r="E304" s="123"/>
      <c r="F304" s="125"/>
      <c r="G304" s="125"/>
      <c r="I304" s="126"/>
      <c r="J304" s="402"/>
      <c r="K304" s="401"/>
    </row>
    <row r="305">
      <c r="A305" s="121"/>
      <c r="B305" s="399"/>
      <c r="D305" s="123"/>
      <c r="E305" s="123"/>
      <c r="F305" s="125"/>
      <c r="G305" s="125"/>
      <c r="I305" s="126"/>
      <c r="J305" s="402"/>
      <c r="K305" s="401"/>
    </row>
    <row r="306">
      <c r="A306" s="121"/>
      <c r="B306" s="399"/>
      <c r="D306" s="123"/>
      <c r="E306" s="123"/>
      <c r="F306" s="125"/>
      <c r="G306" s="125"/>
      <c r="I306" s="126"/>
      <c r="J306" s="402"/>
      <c r="K306" s="401"/>
    </row>
    <row r="307">
      <c r="A307" s="121"/>
      <c r="B307" s="399"/>
      <c r="D307" s="123"/>
      <c r="E307" s="123"/>
      <c r="F307" s="125"/>
      <c r="G307" s="125"/>
      <c r="I307" s="126"/>
      <c r="J307" s="402"/>
      <c r="K307" s="401"/>
    </row>
    <row r="308">
      <c r="A308" s="121"/>
      <c r="B308" s="399"/>
      <c r="D308" s="123"/>
      <c r="E308" s="123"/>
      <c r="F308" s="125"/>
      <c r="G308" s="125"/>
      <c r="I308" s="126"/>
      <c r="J308" s="402"/>
      <c r="K308" s="401"/>
    </row>
    <row r="309">
      <c r="A309" s="121"/>
      <c r="B309" s="399"/>
      <c r="D309" s="123"/>
      <c r="E309" s="123"/>
      <c r="F309" s="125"/>
      <c r="G309" s="125"/>
      <c r="I309" s="126"/>
      <c r="J309" s="402"/>
      <c r="K309" s="401"/>
    </row>
    <row r="310">
      <c r="A310" s="121"/>
      <c r="B310" s="399"/>
      <c r="D310" s="123"/>
      <c r="E310" s="123"/>
      <c r="F310" s="125"/>
      <c r="G310" s="125"/>
      <c r="I310" s="126"/>
      <c r="J310" s="402"/>
      <c r="K310" s="401"/>
    </row>
    <row r="311">
      <c r="A311" s="121"/>
      <c r="B311" s="399"/>
      <c r="D311" s="123"/>
      <c r="E311" s="123"/>
      <c r="F311" s="125"/>
      <c r="G311" s="125"/>
      <c r="I311" s="126"/>
      <c r="J311" s="402"/>
      <c r="K311" s="401"/>
    </row>
    <row r="312">
      <c r="A312" s="121"/>
      <c r="B312" s="399"/>
      <c r="D312" s="123"/>
      <c r="E312" s="123"/>
      <c r="F312" s="125"/>
      <c r="G312" s="125"/>
      <c r="I312" s="126"/>
      <c r="J312" s="402"/>
      <c r="K312" s="401"/>
    </row>
    <row r="313">
      <c r="A313" s="121"/>
      <c r="B313" s="399"/>
      <c r="D313" s="123"/>
      <c r="E313" s="123"/>
      <c r="F313" s="125"/>
      <c r="G313" s="125"/>
      <c r="I313" s="126"/>
      <c r="J313" s="402"/>
      <c r="K313" s="401"/>
    </row>
    <row r="314">
      <c r="A314" s="121"/>
      <c r="B314" s="399"/>
      <c r="D314" s="123"/>
      <c r="E314" s="123"/>
      <c r="F314" s="125"/>
      <c r="G314" s="125"/>
      <c r="I314" s="126"/>
      <c r="J314" s="402"/>
      <c r="K314" s="401"/>
    </row>
    <row r="315">
      <c r="A315" s="121"/>
      <c r="B315" s="399"/>
      <c r="D315" s="123"/>
      <c r="E315" s="123"/>
      <c r="F315" s="125"/>
      <c r="G315" s="125"/>
      <c r="I315" s="126"/>
      <c r="J315" s="402"/>
      <c r="K315" s="401"/>
    </row>
    <row r="316">
      <c r="A316" s="121"/>
      <c r="B316" s="399"/>
      <c r="D316" s="123"/>
      <c r="E316" s="123"/>
      <c r="F316" s="125"/>
      <c r="G316" s="125"/>
      <c r="I316" s="126"/>
      <c r="J316" s="402"/>
      <c r="K316" s="401"/>
    </row>
    <row r="317">
      <c r="A317" s="121"/>
      <c r="B317" s="399"/>
      <c r="D317" s="123"/>
      <c r="E317" s="123"/>
      <c r="F317" s="125"/>
      <c r="G317" s="125"/>
      <c r="I317" s="126"/>
      <c r="J317" s="402"/>
      <c r="K317" s="401"/>
    </row>
    <row r="318">
      <c r="A318" s="121"/>
      <c r="B318" s="399"/>
      <c r="D318" s="123"/>
      <c r="E318" s="123"/>
      <c r="F318" s="125"/>
      <c r="G318" s="125"/>
      <c r="I318" s="126"/>
      <c r="J318" s="402"/>
      <c r="K318" s="401"/>
    </row>
    <row r="319">
      <c r="A319" s="121"/>
      <c r="B319" s="399"/>
      <c r="D319" s="123"/>
      <c r="E319" s="123"/>
      <c r="F319" s="125"/>
      <c r="G319" s="125"/>
      <c r="I319" s="126"/>
      <c r="J319" s="402"/>
      <c r="K319" s="401"/>
    </row>
    <row r="320">
      <c r="A320" s="121"/>
      <c r="B320" s="399"/>
      <c r="D320" s="123"/>
      <c r="E320" s="123"/>
      <c r="F320" s="125"/>
      <c r="G320" s="125"/>
      <c r="I320" s="126"/>
      <c r="J320" s="402"/>
      <c r="K320" s="401"/>
    </row>
    <row r="321">
      <c r="A321" s="121"/>
      <c r="B321" s="399"/>
      <c r="D321" s="123"/>
      <c r="E321" s="123"/>
      <c r="F321" s="125"/>
      <c r="G321" s="125"/>
      <c r="I321" s="126"/>
      <c r="J321" s="402"/>
      <c r="K321" s="401"/>
    </row>
    <row r="322">
      <c r="A322" s="121"/>
      <c r="B322" s="399"/>
      <c r="D322" s="123"/>
      <c r="E322" s="123"/>
      <c r="F322" s="125"/>
      <c r="G322" s="125"/>
      <c r="I322" s="126"/>
      <c r="J322" s="402"/>
      <c r="K322" s="401"/>
    </row>
    <row r="323">
      <c r="A323" s="121"/>
      <c r="B323" s="399"/>
      <c r="D323" s="123"/>
      <c r="E323" s="123"/>
      <c r="F323" s="125"/>
      <c r="G323" s="125"/>
      <c r="I323" s="126"/>
      <c r="J323" s="402"/>
      <c r="K323" s="401"/>
    </row>
    <row r="324">
      <c r="A324" s="121"/>
      <c r="B324" s="399"/>
      <c r="D324" s="123"/>
      <c r="E324" s="123"/>
      <c r="F324" s="125"/>
      <c r="G324" s="125"/>
      <c r="I324" s="126"/>
      <c r="J324" s="402"/>
      <c r="K324" s="401"/>
    </row>
    <row r="325">
      <c r="A325" s="121"/>
      <c r="B325" s="399"/>
      <c r="D325" s="123"/>
      <c r="E325" s="123"/>
      <c r="F325" s="125"/>
      <c r="G325" s="125"/>
      <c r="I325" s="126"/>
      <c r="J325" s="402"/>
      <c r="K325" s="401"/>
    </row>
    <row r="326">
      <c r="A326" s="121"/>
      <c r="B326" s="399"/>
      <c r="D326" s="123"/>
      <c r="E326" s="123"/>
      <c r="F326" s="125"/>
      <c r="G326" s="125"/>
      <c r="I326" s="126"/>
      <c r="J326" s="402"/>
      <c r="K326" s="401"/>
    </row>
    <row r="327">
      <c r="A327" s="121"/>
      <c r="B327" s="399"/>
      <c r="D327" s="123"/>
      <c r="E327" s="123"/>
      <c r="F327" s="125"/>
      <c r="G327" s="125"/>
      <c r="I327" s="126"/>
      <c r="J327" s="402"/>
      <c r="K327" s="401"/>
    </row>
    <row r="328">
      <c r="A328" s="121"/>
      <c r="B328" s="399"/>
      <c r="D328" s="123"/>
      <c r="E328" s="123"/>
      <c r="F328" s="125"/>
      <c r="G328" s="125"/>
      <c r="I328" s="126"/>
      <c r="J328" s="402"/>
      <c r="K328" s="401"/>
    </row>
    <row r="329">
      <c r="A329" s="121"/>
      <c r="B329" s="399"/>
      <c r="D329" s="123"/>
      <c r="E329" s="123"/>
      <c r="F329" s="125"/>
      <c r="G329" s="125"/>
      <c r="I329" s="126"/>
      <c r="J329" s="402"/>
      <c r="K329" s="401"/>
    </row>
    <row r="330">
      <c r="A330" s="121"/>
      <c r="B330" s="399"/>
      <c r="D330" s="123"/>
      <c r="E330" s="123"/>
      <c r="F330" s="125"/>
      <c r="G330" s="125"/>
      <c r="I330" s="126"/>
      <c r="J330" s="402"/>
      <c r="K330" s="401"/>
    </row>
    <row r="331">
      <c r="A331" s="121"/>
      <c r="B331" s="399"/>
      <c r="D331" s="123"/>
      <c r="E331" s="123"/>
      <c r="F331" s="125"/>
      <c r="G331" s="125"/>
      <c r="I331" s="126"/>
      <c r="J331" s="402"/>
      <c r="K331" s="401"/>
    </row>
    <row r="332">
      <c r="A332" s="121"/>
      <c r="B332" s="399"/>
      <c r="D332" s="123"/>
      <c r="E332" s="123"/>
      <c r="F332" s="125"/>
      <c r="G332" s="125"/>
      <c r="I332" s="126"/>
      <c r="J332" s="402"/>
      <c r="K332" s="401"/>
    </row>
    <row r="333">
      <c r="A333" s="121"/>
      <c r="B333" s="399"/>
      <c r="D333" s="123"/>
      <c r="E333" s="123"/>
      <c r="F333" s="125"/>
      <c r="G333" s="125"/>
      <c r="I333" s="126"/>
      <c r="J333" s="402"/>
      <c r="K333" s="401"/>
    </row>
    <row r="334">
      <c r="A334" s="121"/>
      <c r="B334" s="399"/>
      <c r="D334" s="123"/>
      <c r="E334" s="123"/>
      <c r="F334" s="125"/>
      <c r="G334" s="125"/>
      <c r="I334" s="126"/>
      <c r="J334" s="402"/>
      <c r="K334" s="401"/>
    </row>
    <row r="335">
      <c r="A335" s="121"/>
      <c r="B335" s="399"/>
      <c r="D335" s="123"/>
      <c r="E335" s="123"/>
      <c r="F335" s="125"/>
      <c r="G335" s="125"/>
      <c r="I335" s="126"/>
      <c r="J335" s="402"/>
      <c r="K335" s="401"/>
    </row>
    <row r="336">
      <c r="A336" s="121"/>
      <c r="B336" s="399"/>
      <c r="D336" s="123"/>
      <c r="E336" s="123"/>
      <c r="F336" s="125"/>
      <c r="G336" s="125"/>
      <c r="I336" s="126"/>
      <c r="J336" s="402"/>
      <c r="K336" s="401"/>
    </row>
    <row r="337">
      <c r="A337" s="121"/>
      <c r="B337" s="399"/>
      <c r="D337" s="123"/>
      <c r="E337" s="123"/>
      <c r="F337" s="125"/>
      <c r="G337" s="125"/>
      <c r="I337" s="126"/>
      <c r="J337" s="402"/>
      <c r="K337" s="401"/>
    </row>
    <row r="338">
      <c r="A338" s="121"/>
      <c r="B338" s="399"/>
      <c r="D338" s="123"/>
      <c r="E338" s="123"/>
      <c r="F338" s="125"/>
      <c r="G338" s="125"/>
      <c r="I338" s="126"/>
      <c r="J338" s="402"/>
      <c r="K338" s="401"/>
    </row>
    <row r="339">
      <c r="A339" s="121"/>
      <c r="B339" s="399"/>
      <c r="D339" s="123"/>
      <c r="E339" s="123"/>
      <c r="F339" s="125"/>
      <c r="G339" s="125"/>
      <c r="I339" s="126"/>
      <c r="J339" s="402"/>
      <c r="K339" s="401"/>
    </row>
    <row r="340">
      <c r="A340" s="121"/>
      <c r="B340" s="399"/>
      <c r="D340" s="123"/>
      <c r="E340" s="123"/>
      <c r="F340" s="125"/>
      <c r="G340" s="125"/>
      <c r="I340" s="126"/>
      <c r="J340" s="402"/>
      <c r="K340" s="401"/>
    </row>
    <row r="341">
      <c r="A341" s="121"/>
      <c r="B341" s="399"/>
      <c r="D341" s="123"/>
      <c r="E341" s="123"/>
      <c r="F341" s="125"/>
      <c r="G341" s="125"/>
      <c r="I341" s="126"/>
      <c r="J341" s="402"/>
      <c r="K341" s="401"/>
    </row>
    <row r="342">
      <c r="A342" s="121"/>
      <c r="B342" s="399"/>
      <c r="D342" s="123"/>
      <c r="E342" s="123"/>
      <c r="F342" s="125"/>
      <c r="G342" s="125"/>
      <c r="I342" s="126"/>
      <c r="J342" s="402"/>
      <c r="K342" s="401"/>
    </row>
    <row r="343">
      <c r="A343" s="121"/>
      <c r="B343" s="399"/>
      <c r="D343" s="123"/>
      <c r="E343" s="123"/>
      <c r="F343" s="125"/>
      <c r="G343" s="125"/>
      <c r="I343" s="126"/>
      <c r="J343" s="402"/>
      <c r="K343" s="401"/>
    </row>
    <row r="344">
      <c r="A344" s="121"/>
      <c r="B344" s="399"/>
      <c r="D344" s="123"/>
      <c r="E344" s="123"/>
      <c r="F344" s="125"/>
      <c r="G344" s="125"/>
      <c r="I344" s="126"/>
      <c r="J344" s="402"/>
      <c r="K344" s="401"/>
    </row>
    <row r="345">
      <c r="A345" s="121"/>
      <c r="B345" s="399"/>
      <c r="D345" s="123"/>
      <c r="E345" s="123"/>
      <c r="F345" s="125"/>
      <c r="G345" s="125"/>
      <c r="I345" s="126"/>
      <c r="J345" s="402"/>
      <c r="K345" s="401"/>
    </row>
    <row r="346">
      <c r="A346" s="121"/>
      <c r="B346" s="399"/>
      <c r="D346" s="123"/>
      <c r="E346" s="123"/>
      <c r="F346" s="125"/>
      <c r="G346" s="125"/>
      <c r="I346" s="126"/>
      <c r="J346" s="402"/>
      <c r="K346" s="401"/>
    </row>
    <row r="347">
      <c r="A347" s="121"/>
      <c r="B347" s="399"/>
      <c r="D347" s="123"/>
      <c r="E347" s="123"/>
      <c r="F347" s="125"/>
      <c r="G347" s="125"/>
      <c r="I347" s="126"/>
      <c r="J347" s="402"/>
      <c r="K347" s="401"/>
    </row>
    <row r="348">
      <c r="A348" s="121"/>
      <c r="B348" s="399"/>
      <c r="D348" s="123"/>
      <c r="E348" s="123"/>
      <c r="F348" s="125"/>
      <c r="G348" s="125"/>
      <c r="I348" s="126"/>
      <c r="J348" s="402"/>
      <c r="K348" s="401"/>
    </row>
    <row r="349">
      <c r="A349" s="121"/>
      <c r="B349" s="399"/>
      <c r="D349" s="123"/>
      <c r="E349" s="123"/>
      <c r="F349" s="125"/>
      <c r="G349" s="125"/>
      <c r="I349" s="126"/>
      <c r="J349" s="402"/>
      <c r="K349" s="401"/>
    </row>
    <row r="350">
      <c r="A350" s="121"/>
      <c r="B350" s="399"/>
      <c r="D350" s="123"/>
      <c r="E350" s="123"/>
      <c r="F350" s="125"/>
      <c r="G350" s="125"/>
      <c r="I350" s="126"/>
      <c r="J350" s="402"/>
      <c r="K350" s="401"/>
    </row>
    <row r="351">
      <c r="A351" s="121"/>
      <c r="B351" s="399"/>
      <c r="D351" s="123"/>
      <c r="E351" s="123"/>
      <c r="F351" s="125"/>
      <c r="G351" s="125"/>
      <c r="I351" s="126"/>
      <c r="J351" s="402"/>
      <c r="K351" s="401"/>
    </row>
    <row r="352">
      <c r="A352" s="121"/>
      <c r="B352" s="399"/>
      <c r="D352" s="123"/>
      <c r="E352" s="123"/>
      <c r="F352" s="125"/>
      <c r="G352" s="125"/>
      <c r="I352" s="126"/>
      <c r="J352" s="402"/>
      <c r="K352" s="401"/>
    </row>
    <row r="353">
      <c r="A353" s="121"/>
      <c r="B353" s="399"/>
      <c r="D353" s="123"/>
      <c r="E353" s="123"/>
      <c r="F353" s="125"/>
      <c r="G353" s="125"/>
      <c r="I353" s="126"/>
      <c r="J353" s="402"/>
      <c r="K353" s="401"/>
    </row>
    <row r="354">
      <c r="A354" s="121"/>
      <c r="B354" s="399"/>
      <c r="D354" s="123"/>
      <c r="E354" s="123"/>
      <c r="F354" s="125"/>
      <c r="G354" s="125"/>
      <c r="I354" s="126"/>
      <c r="J354" s="402"/>
      <c r="K354" s="401"/>
    </row>
    <row r="355">
      <c r="A355" s="121"/>
      <c r="B355" s="399"/>
      <c r="D355" s="123"/>
      <c r="E355" s="123"/>
      <c r="F355" s="125"/>
      <c r="G355" s="125"/>
      <c r="I355" s="126"/>
      <c r="J355" s="402"/>
      <c r="K355" s="401"/>
    </row>
    <row r="356">
      <c r="A356" s="121"/>
      <c r="B356" s="399"/>
      <c r="D356" s="123"/>
      <c r="E356" s="123"/>
      <c r="F356" s="125"/>
      <c r="G356" s="125"/>
      <c r="I356" s="126"/>
      <c r="J356" s="402"/>
      <c r="K356" s="401"/>
    </row>
    <row r="357">
      <c r="A357" s="121"/>
      <c r="B357" s="399"/>
      <c r="D357" s="123"/>
      <c r="E357" s="123"/>
      <c r="F357" s="125"/>
      <c r="G357" s="125"/>
      <c r="I357" s="126"/>
      <c r="J357" s="402"/>
      <c r="K357" s="401"/>
    </row>
    <row r="358">
      <c r="A358" s="121"/>
      <c r="B358" s="399"/>
      <c r="D358" s="123"/>
      <c r="E358" s="123"/>
      <c r="F358" s="125"/>
      <c r="G358" s="125"/>
      <c r="I358" s="126"/>
      <c r="J358" s="402"/>
      <c r="K358" s="401"/>
    </row>
    <row r="359">
      <c r="A359" s="121"/>
      <c r="B359" s="399"/>
      <c r="D359" s="123"/>
      <c r="E359" s="123"/>
      <c r="F359" s="125"/>
      <c r="G359" s="125"/>
      <c r="I359" s="126"/>
      <c r="J359" s="402"/>
      <c r="K359" s="401"/>
    </row>
    <row r="360">
      <c r="A360" s="121"/>
      <c r="B360" s="399"/>
      <c r="D360" s="123"/>
      <c r="E360" s="123"/>
      <c r="F360" s="125"/>
      <c r="G360" s="125"/>
      <c r="I360" s="126"/>
      <c r="J360" s="402"/>
      <c r="K360" s="401"/>
    </row>
    <row r="361">
      <c r="A361" s="121"/>
      <c r="B361" s="399"/>
      <c r="D361" s="123"/>
      <c r="E361" s="123"/>
      <c r="F361" s="125"/>
      <c r="G361" s="125"/>
      <c r="I361" s="126"/>
      <c r="J361" s="402"/>
      <c r="K361" s="401"/>
    </row>
    <row r="362">
      <c r="A362" s="121"/>
      <c r="B362" s="399"/>
      <c r="D362" s="123"/>
      <c r="E362" s="123"/>
      <c r="F362" s="125"/>
      <c r="G362" s="125"/>
      <c r="I362" s="126"/>
      <c r="J362" s="402"/>
      <c r="K362" s="401"/>
    </row>
    <row r="363">
      <c r="A363" s="121"/>
      <c r="B363" s="399"/>
      <c r="D363" s="123"/>
      <c r="E363" s="123"/>
      <c r="F363" s="125"/>
      <c r="G363" s="125"/>
      <c r="I363" s="126"/>
      <c r="J363" s="402"/>
      <c r="K363" s="401"/>
    </row>
    <row r="364">
      <c r="A364" s="121"/>
      <c r="B364" s="399"/>
      <c r="D364" s="123"/>
      <c r="E364" s="123"/>
      <c r="F364" s="125"/>
      <c r="G364" s="125"/>
      <c r="I364" s="126"/>
      <c r="J364" s="402"/>
      <c r="K364" s="401"/>
    </row>
    <row r="365">
      <c r="A365" s="121"/>
      <c r="B365" s="399"/>
      <c r="D365" s="123"/>
      <c r="E365" s="123"/>
      <c r="F365" s="125"/>
      <c r="G365" s="125"/>
      <c r="I365" s="126"/>
      <c r="J365" s="402"/>
      <c r="K365" s="401"/>
    </row>
    <row r="366">
      <c r="A366" s="121"/>
      <c r="B366" s="399"/>
      <c r="D366" s="123"/>
      <c r="E366" s="123"/>
      <c r="F366" s="125"/>
      <c r="G366" s="125"/>
      <c r="I366" s="126"/>
      <c r="J366" s="402"/>
      <c r="K366" s="401"/>
    </row>
    <row r="367">
      <c r="A367" s="121"/>
      <c r="B367" s="399"/>
      <c r="D367" s="123"/>
      <c r="E367" s="123"/>
      <c r="F367" s="125"/>
      <c r="G367" s="125"/>
      <c r="I367" s="126"/>
      <c r="J367" s="402"/>
      <c r="K367" s="401"/>
    </row>
    <row r="368">
      <c r="A368" s="121"/>
      <c r="B368" s="399"/>
      <c r="D368" s="123"/>
      <c r="E368" s="123"/>
      <c r="F368" s="125"/>
      <c r="G368" s="125"/>
      <c r="I368" s="126"/>
      <c r="J368" s="402"/>
      <c r="K368" s="401"/>
    </row>
    <row r="369">
      <c r="A369" s="121"/>
      <c r="B369" s="399"/>
      <c r="D369" s="123"/>
      <c r="E369" s="123"/>
      <c r="F369" s="125"/>
      <c r="G369" s="125"/>
      <c r="I369" s="126"/>
      <c r="J369" s="402"/>
      <c r="K369" s="401"/>
    </row>
    <row r="370">
      <c r="A370" s="121"/>
      <c r="B370" s="399"/>
      <c r="D370" s="123"/>
      <c r="E370" s="123"/>
      <c r="F370" s="125"/>
      <c r="G370" s="125"/>
      <c r="I370" s="126"/>
      <c r="J370" s="402"/>
      <c r="K370" s="401"/>
    </row>
    <row r="371">
      <c r="A371" s="121"/>
      <c r="B371" s="399"/>
      <c r="D371" s="123"/>
      <c r="E371" s="123"/>
      <c r="F371" s="125"/>
      <c r="G371" s="125"/>
      <c r="I371" s="126"/>
      <c r="J371" s="402"/>
      <c r="K371" s="401"/>
    </row>
    <row r="372">
      <c r="A372" s="121"/>
      <c r="B372" s="399"/>
      <c r="D372" s="123"/>
      <c r="E372" s="123"/>
      <c r="F372" s="125"/>
      <c r="G372" s="125"/>
      <c r="I372" s="126"/>
      <c r="J372" s="402"/>
      <c r="K372" s="401"/>
    </row>
    <row r="373">
      <c r="A373" s="121"/>
      <c r="B373" s="399"/>
      <c r="D373" s="123"/>
      <c r="E373" s="123"/>
      <c r="F373" s="125"/>
      <c r="G373" s="125"/>
      <c r="I373" s="126"/>
      <c r="J373" s="402"/>
      <c r="K373" s="401"/>
    </row>
    <row r="374">
      <c r="A374" s="121"/>
      <c r="B374" s="399"/>
      <c r="D374" s="123"/>
      <c r="E374" s="123"/>
      <c r="F374" s="125"/>
      <c r="G374" s="125"/>
      <c r="I374" s="126"/>
      <c r="J374" s="402"/>
      <c r="K374" s="401"/>
    </row>
    <row r="375">
      <c r="A375" s="121"/>
      <c r="B375" s="399"/>
      <c r="D375" s="123"/>
      <c r="E375" s="123"/>
      <c r="F375" s="125"/>
      <c r="G375" s="125"/>
      <c r="I375" s="126"/>
      <c r="J375" s="402"/>
      <c r="K375" s="401"/>
    </row>
    <row r="376">
      <c r="A376" s="121"/>
      <c r="B376" s="399"/>
      <c r="D376" s="123"/>
      <c r="E376" s="123"/>
      <c r="F376" s="125"/>
      <c r="G376" s="125"/>
      <c r="I376" s="126"/>
      <c r="J376" s="402"/>
      <c r="K376" s="401"/>
    </row>
    <row r="377">
      <c r="A377" s="121"/>
      <c r="B377" s="399"/>
      <c r="D377" s="123"/>
      <c r="E377" s="123"/>
      <c r="F377" s="125"/>
      <c r="G377" s="125"/>
      <c r="I377" s="126"/>
      <c r="J377" s="402"/>
      <c r="K377" s="401"/>
    </row>
    <row r="378">
      <c r="A378" s="121"/>
      <c r="B378" s="399"/>
      <c r="D378" s="123"/>
      <c r="E378" s="123"/>
      <c r="F378" s="125"/>
      <c r="G378" s="125"/>
      <c r="I378" s="126"/>
      <c r="J378" s="402"/>
      <c r="K378" s="401"/>
    </row>
    <row r="379">
      <c r="A379" s="121"/>
      <c r="B379" s="399"/>
      <c r="D379" s="123"/>
      <c r="E379" s="123"/>
      <c r="F379" s="125"/>
      <c r="G379" s="125"/>
      <c r="I379" s="126"/>
      <c r="J379" s="402"/>
      <c r="K379" s="401"/>
    </row>
    <row r="380">
      <c r="A380" s="121"/>
      <c r="B380" s="399"/>
      <c r="D380" s="123"/>
      <c r="E380" s="123"/>
      <c r="F380" s="125"/>
      <c r="G380" s="125"/>
      <c r="I380" s="126"/>
      <c r="J380" s="402"/>
      <c r="K380" s="401"/>
    </row>
    <row r="381">
      <c r="A381" s="121"/>
      <c r="B381" s="399"/>
      <c r="D381" s="123"/>
      <c r="E381" s="123"/>
      <c r="F381" s="125"/>
      <c r="G381" s="125"/>
      <c r="I381" s="126"/>
      <c r="J381" s="402"/>
      <c r="K381" s="401"/>
    </row>
    <row r="382">
      <c r="A382" s="121"/>
      <c r="B382" s="399"/>
      <c r="D382" s="123"/>
      <c r="E382" s="123"/>
      <c r="F382" s="125"/>
      <c r="G382" s="125"/>
      <c r="I382" s="126"/>
      <c r="J382" s="402"/>
      <c r="K382" s="401"/>
    </row>
    <row r="383">
      <c r="A383" s="121"/>
      <c r="B383" s="399"/>
      <c r="D383" s="123"/>
      <c r="E383" s="123"/>
      <c r="F383" s="125"/>
      <c r="G383" s="125"/>
      <c r="I383" s="126"/>
      <c r="J383" s="402"/>
      <c r="K383" s="401"/>
    </row>
    <row r="384">
      <c r="A384" s="121"/>
      <c r="B384" s="399"/>
      <c r="D384" s="123"/>
      <c r="E384" s="123"/>
      <c r="F384" s="125"/>
      <c r="G384" s="125"/>
      <c r="I384" s="126"/>
      <c r="J384" s="402"/>
      <c r="K384" s="401"/>
    </row>
    <row r="385">
      <c r="A385" s="121"/>
      <c r="B385" s="399"/>
      <c r="D385" s="123"/>
      <c r="E385" s="123"/>
      <c r="F385" s="125"/>
      <c r="G385" s="125"/>
      <c r="I385" s="126"/>
      <c r="J385" s="402"/>
      <c r="K385" s="401"/>
    </row>
    <row r="386">
      <c r="A386" s="121"/>
      <c r="B386" s="399"/>
      <c r="D386" s="123"/>
      <c r="E386" s="123"/>
      <c r="F386" s="125"/>
      <c r="G386" s="125"/>
      <c r="I386" s="126"/>
      <c r="J386" s="402"/>
      <c r="K386" s="401"/>
    </row>
    <row r="387">
      <c r="A387" s="121"/>
      <c r="B387" s="399"/>
      <c r="D387" s="123"/>
      <c r="E387" s="123"/>
      <c r="F387" s="125"/>
      <c r="G387" s="125"/>
      <c r="I387" s="126"/>
      <c r="J387" s="402"/>
      <c r="K387" s="401"/>
    </row>
    <row r="388">
      <c r="A388" s="121"/>
      <c r="B388" s="399"/>
      <c r="D388" s="123"/>
      <c r="E388" s="123"/>
      <c r="F388" s="125"/>
      <c r="G388" s="125"/>
      <c r="I388" s="126"/>
      <c r="J388" s="402"/>
      <c r="K388" s="401"/>
    </row>
    <row r="389">
      <c r="A389" s="121"/>
      <c r="B389" s="399"/>
      <c r="D389" s="123"/>
      <c r="E389" s="123"/>
      <c r="F389" s="125"/>
      <c r="G389" s="125"/>
      <c r="I389" s="126"/>
      <c r="J389" s="402"/>
      <c r="K389" s="401"/>
    </row>
    <row r="390">
      <c r="A390" s="121"/>
      <c r="B390" s="399"/>
      <c r="D390" s="123"/>
      <c r="E390" s="123"/>
      <c r="F390" s="125"/>
      <c r="G390" s="125"/>
      <c r="I390" s="126"/>
      <c r="J390" s="402"/>
      <c r="K390" s="401"/>
    </row>
    <row r="391">
      <c r="A391" s="121"/>
      <c r="B391" s="399"/>
      <c r="D391" s="123"/>
      <c r="E391" s="123"/>
      <c r="F391" s="125"/>
      <c r="G391" s="125"/>
      <c r="I391" s="126"/>
      <c r="J391" s="402"/>
      <c r="K391" s="401"/>
    </row>
    <row r="392">
      <c r="A392" s="121"/>
      <c r="B392" s="399"/>
      <c r="D392" s="123"/>
      <c r="E392" s="123"/>
      <c r="F392" s="125"/>
      <c r="G392" s="125"/>
      <c r="I392" s="126"/>
      <c r="J392" s="402"/>
      <c r="K392" s="401"/>
    </row>
    <row r="393">
      <c r="A393" s="121"/>
      <c r="B393" s="399"/>
      <c r="D393" s="123"/>
      <c r="E393" s="123"/>
      <c r="F393" s="125"/>
      <c r="G393" s="125"/>
      <c r="I393" s="126"/>
      <c r="J393" s="402"/>
      <c r="K393" s="401"/>
    </row>
    <row r="394">
      <c r="A394" s="121"/>
      <c r="B394" s="399"/>
      <c r="D394" s="123"/>
      <c r="E394" s="123"/>
      <c r="F394" s="125"/>
      <c r="G394" s="125"/>
      <c r="I394" s="126"/>
      <c r="J394" s="402"/>
      <c r="K394" s="401"/>
    </row>
    <row r="395">
      <c r="A395" s="121"/>
      <c r="B395" s="399"/>
      <c r="D395" s="123"/>
      <c r="E395" s="123"/>
      <c r="F395" s="125"/>
      <c r="G395" s="125"/>
      <c r="I395" s="126"/>
      <c r="J395" s="402"/>
      <c r="K395" s="401"/>
    </row>
    <row r="396">
      <c r="A396" s="121"/>
      <c r="B396" s="399"/>
      <c r="D396" s="123"/>
      <c r="E396" s="123"/>
      <c r="F396" s="125"/>
      <c r="G396" s="125"/>
      <c r="I396" s="126"/>
      <c r="J396" s="402"/>
      <c r="K396" s="401"/>
    </row>
    <row r="397">
      <c r="A397" s="121"/>
      <c r="B397" s="399"/>
      <c r="D397" s="123"/>
      <c r="E397" s="123"/>
      <c r="F397" s="125"/>
      <c r="G397" s="125"/>
      <c r="I397" s="126"/>
      <c r="J397" s="402"/>
      <c r="K397" s="401"/>
    </row>
    <row r="398">
      <c r="A398" s="121"/>
      <c r="B398" s="399"/>
      <c r="D398" s="123"/>
      <c r="E398" s="123"/>
      <c r="F398" s="125"/>
      <c r="G398" s="125"/>
      <c r="I398" s="126"/>
      <c r="J398" s="402"/>
      <c r="K398" s="401"/>
    </row>
    <row r="399">
      <c r="A399" s="121"/>
      <c r="B399" s="399"/>
      <c r="D399" s="123"/>
      <c r="E399" s="123"/>
      <c r="F399" s="125"/>
      <c r="G399" s="125"/>
      <c r="I399" s="126"/>
      <c r="J399" s="402"/>
      <c r="K399" s="401"/>
    </row>
    <row r="400">
      <c r="A400" s="121"/>
      <c r="B400" s="399"/>
      <c r="D400" s="123"/>
      <c r="E400" s="123"/>
      <c r="F400" s="125"/>
      <c r="G400" s="125"/>
      <c r="I400" s="126"/>
      <c r="J400" s="402"/>
      <c r="K400" s="401"/>
    </row>
    <row r="401">
      <c r="A401" s="121"/>
      <c r="B401" s="399"/>
      <c r="D401" s="123"/>
      <c r="E401" s="123"/>
      <c r="F401" s="125"/>
      <c r="G401" s="125"/>
      <c r="I401" s="126"/>
      <c r="J401" s="402"/>
      <c r="K401" s="401"/>
    </row>
    <row r="402">
      <c r="A402" s="121"/>
      <c r="B402" s="399"/>
      <c r="D402" s="123"/>
      <c r="E402" s="123"/>
      <c r="F402" s="125"/>
      <c r="G402" s="125"/>
      <c r="I402" s="126"/>
      <c r="J402" s="402"/>
      <c r="K402" s="401"/>
    </row>
    <row r="403">
      <c r="A403" s="121"/>
      <c r="B403" s="399"/>
      <c r="D403" s="123"/>
      <c r="E403" s="123"/>
      <c r="F403" s="125"/>
      <c r="G403" s="125"/>
      <c r="I403" s="126"/>
      <c r="J403" s="402"/>
      <c r="K403" s="401"/>
    </row>
    <row r="404">
      <c r="A404" s="121"/>
      <c r="B404" s="399"/>
      <c r="D404" s="123"/>
      <c r="E404" s="123"/>
      <c r="F404" s="125"/>
      <c r="G404" s="125"/>
      <c r="I404" s="126"/>
      <c r="J404" s="402"/>
      <c r="K404" s="401"/>
    </row>
    <row r="405">
      <c r="A405" s="121"/>
      <c r="B405" s="399"/>
      <c r="D405" s="123"/>
      <c r="E405" s="123"/>
      <c r="F405" s="125"/>
      <c r="G405" s="125"/>
      <c r="I405" s="126"/>
      <c r="J405" s="402"/>
      <c r="K405" s="401"/>
    </row>
    <row r="406">
      <c r="A406" s="121"/>
      <c r="B406" s="399"/>
      <c r="D406" s="123"/>
      <c r="E406" s="123"/>
      <c r="F406" s="125"/>
      <c r="G406" s="125"/>
      <c r="I406" s="126"/>
      <c r="J406" s="402"/>
      <c r="K406" s="401"/>
    </row>
    <row r="407">
      <c r="A407" s="121"/>
      <c r="B407" s="399"/>
      <c r="D407" s="123"/>
      <c r="E407" s="123"/>
      <c r="F407" s="125"/>
      <c r="G407" s="125"/>
      <c r="I407" s="126"/>
      <c r="J407" s="402"/>
      <c r="K407" s="401"/>
    </row>
    <row r="408">
      <c r="A408" s="121"/>
      <c r="B408" s="399"/>
      <c r="D408" s="123"/>
      <c r="E408" s="123"/>
      <c r="F408" s="125"/>
      <c r="G408" s="125"/>
      <c r="I408" s="126"/>
      <c r="J408" s="402"/>
      <c r="K408" s="401"/>
    </row>
    <row r="409">
      <c r="A409" s="121"/>
      <c r="B409" s="399"/>
      <c r="D409" s="123"/>
      <c r="E409" s="123"/>
      <c r="F409" s="125"/>
      <c r="G409" s="125"/>
      <c r="I409" s="126"/>
      <c r="J409" s="402"/>
      <c r="K409" s="401"/>
    </row>
    <row r="410">
      <c r="A410" s="121"/>
      <c r="B410" s="399"/>
      <c r="D410" s="123"/>
      <c r="E410" s="123"/>
      <c r="F410" s="125"/>
      <c r="G410" s="125"/>
      <c r="I410" s="126"/>
      <c r="J410" s="402"/>
      <c r="K410" s="401"/>
    </row>
    <row r="411">
      <c r="A411" s="121"/>
      <c r="B411" s="399"/>
      <c r="D411" s="123"/>
      <c r="E411" s="123"/>
      <c r="F411" s="125"/>
      <c r="G411" s="125"/>
      <c r="I411" s="126"/>
      <c r="J411" s="402"/>
      <c r="K411" s="401"/>
    </row>
    <row r="412">
      <c r="A412" s="121"/>
      <c r="B412" s="399"/>
      <c r="D412" s="123"/>
      <c r="E412" s="123"/>
      <c r="F412" s="125"/>
      <c r="G412" s="125"/>
      <c r="I412" s="126"/>
      <c r="J412" s="402"/>
      <c r="K412" s="401"/>
    </row>
    <row r="413">
      <c r="A413" s="121"/>
      <c r="B413" s="399"/>
      <c r="D413" s="123"/>
      <c r="E413" s="123"/>
      <c r="F413" s="125"/>
      <c r="G413" s="125"/>
      <c r="I413" s="126"/>
      <c r="J413" s="402"/>
      <c r="K413" s="401"/>
    </row>
    <row r="414">
      <c r="A414" s="121"/>
      <c r="B414" s="399"/>
      <c r="D414" s="123"/>
      <c r="E414" s="123"/>
      <c r="F414" s="125"/>
      <c r="G414" s="125"/>
      <c r="I414" s="126"/>
      <c r="J414" s="402"/>
      <c r="K414" s="401"/>
    </row>
    <row r="415">
      <c r="A415" s="121"/>
      <c r="B415" s="399"/>
      <c r="D415" s="123"/>
      <c r="E415" s="123"/>
      <c r="F415" s="125"/>
      <c r="G415" s="125"/>
      <c r="I415" s="126"/>
      <c r="J415" s="402"/>
      <c r="K415" s="401"/>
    </row>
    <row r="416">
      <c r="A416" s="121"/>
      <c r="B416" s="399"/>
      <c r="D416" s="123"/>
      <c r="E416" s="123"/>
      <c r="F416" s="125"/>
      <c r="G416" s="125"/>
      <c r="I416" s="126"/>
      <c r="J416" s="402"/>
      <c r="K416" s="401"/>
    </row>
    <row r="417">
      <c r="A417" s="121"/>
      <c r="B417" s="399"/>
      <c r="D417" s="123"/>
      <c r="E417" s="123"/>
      <c r="F417" s="125"/>
      <c r="G417" s="125"/>
      <c r="I417" s="126"/>
      <c r="J417" s="402"/>
      <c r="K417" s="401"/>
    </row>
    <row r="418">
      <c r="A418" s="121"/>
      <c r="B418" s="399"/>
      <c r="D418" s="123"/>
      <c r="E418" s="123"/>
      <c r="F418" s="125"/>
      <c r="G418" s="125"/>
      <c r="I418" s="126"/>
      <c r="J418" s="402"/>
      <c r="K418" s="401"/>
    </row>
    <row r="419">
      <c r="A419" s="121"/>
      <c r="B419" s="399"/>
      <c r="D419" s="123"/>
      <c r="E419" s="123"/>
      <c r="F419" s="125"/>
      <c r="G419" s="125"/>
      <c r="I419" s="126"/>
      <c r="J419" s="402"/>
      <c r="K419" s="401"/>
    </row>
    <row r="420">
      <c r="A420" s="121"/>
      <c r="B420" s="399"/>
      <c r="D420" s="123"/>
      <c r="E420" s="123"/>
      <c r="F420" s="125"/>
      <c r="G420" s="125"/>
      <c r="I420" s="126"/>
      <c r="J420" s="402"/>
      <c r="K420" s="401"/>
    </row>
    <row r="421">
      <c r="A421" s="121"/>
      <c r="B421" s="399"/>
      <c r="D421" s="123"/>
      <c r="E421" s="123"/>
      <c r="F421" s="125"/>
      <c r="G421" s="125"/>
      <c r="I421" s="126"/>
      <c r="J421" s="402"/>
      <c r="K421" s="401"/>
    </row>
    <row r="422">
      <c r="A422" s="121"/>
      <c r="B422" s="399"/>
      <c r="D422" s="123"/>
      <c r="E422" s="123"/>
      <c r="F422" s="125"/>
      <c r="G422" s="125"/>
      <c r="I422" s="126"/>
      <c r="J422" s="402"/>
      <c r="K422" s="401"/>
    </row>
    <row r="423">
      <c r="A423" s="121"/>
      <c r="B423" s="399"/>
      <c r="D423" s="123"/>
      <c r="E423" s="123"/>
      <c r="F423" s="125"/>
      <c r="G423" s="125"/>
      <c r="I423" s="126"/>
      <c r="J423" s="402"/>
      <c r="K423" s="401"/>
    </row>
    <row r="424">
      <c r="A424" s="121"/>
      <c r="B424" s="399"/>
      <c r="D424" s="123"/>
      <c r="E424" s="123"/>
      <c r="F424" s="125"/>
      <c r="G424" s="125"/>
      <c r="I424" s="126"/>
      <c r="J424" s="402"/>
      <c r="K424" s="401"/>
    </row>
    <row r="425">
      <c r="A425" s="121"/>
      <c r="B425" s="399"/>
      <c r="D425" s="123"/>
      <c r="E425" s="123"/>
      <c r="F425" s="125"/>
      <c r="G425" s="125"/>
      <c r="I425" s="126"/>
      <c r="J425" s="402"/>
      <c r="K425" s="401"/>
    </row>
    <row r="426">
      <c r="A426" s="121"/>
      <c r="B426" s="399"/>
      <c r="D426" s="123"/>
      <c r="E426" s="123"/>
      <c r="F426" s="125"/>
      <c r="G426" s="125"/>
      <c r="I426" s="126"/>
      <c r="J426" s="402"/>
      <c r="K426" s="401"/>
    </row>
    <row r="427">
      <c r="A427" s="121"/>
      <c r="B427" s="399"/>
      <c r="D427" s="123"/>
      <c r="E427" s="123"/>
      <c r="F427" s="125"/>
      <c r="G427" s="125"/>
      <c r="I427" s="126"/>
      <c r="J427" s="402"/>
      <c r="K427" s="401"/>
    </row>
    <row r="428">
      <c r="A428" s="121"/>
      <c r="B428" s="399"/>
      <c r="D428" s="123"/>
      <c r="E428" s="123"/>
      <c r="F428" s="125"/>
      <c r="G428" s="125"/>
      <c r="I428" s="126"/>
      <c r="J428" s="402"/>
      <c r="K428" s="401"/>
    </row>
    <row r="429">
      <c r="A429" s="121"/>
      <c r="B429" s="399"/>
      <c r="D429" s="123"/>
      <c r="E429" s="123"/>
      <c r="F429" s="125"/>
      <c r="G429" s="125"/>
      <c r="I429" s="126"/>
      <c r="J429" s="402"/>
      <c r="K429" s="401"/>
    </row>
    <row r="430">
      <c r="A430" s="121"/>
      <c r="B430" s="399"/>
      <c r="D430" s="123"/>
      <c r="E430" s="123"/>
      <c r="F430" s="125"/>
      <c r="G430" s="125"/>
      <c r="I430" s="126"/>
      <c r="J430" s="402"/>
      <c r="K430" s="401"/>
    </row>
    <row r="431">
      <c r="A431" s="121"/>
      <c r="B431" s="399"/>
      <c r="D431" s="123"/>
      <c r="E431" s="123"/>
      <c r="F431" s="125"/>
      <c r="G431" s="125"/>
      <c r="I431" s="126"/>
      <c r="J431" s="402"/>
      <c r="K431" s="401"/>
    </row>
    <row r="432">
      <c r="A432" s="121"/>
      <c r="B432" s="399"/>
      <c r="D432" s="123"/>
      <c r="E432" s="123"/>
      <c r="F432" s="125"/>
      <c r="G432" s="125"/>
      <c r="I432" s="126"/>
      <c r="J432" s="402"/>
      <c r="K432" s="401"/>
    </row>
    <row r="433">
      <c r="A433" s="121"/>
      <c r="B433" s="399"/>
      <c r="D433" s="123"/>
      <c r="E433" s="123"/>
      <c r="F433" s="125"/>
      <c r="G433" s="125"/>
      <c r="I433" s="126"/>
      <c r="J433" s="402"/>
      <c r="K433" s="401"/>
    </row>
    <row r="434">
      <c r="A434" s="121"/>
      <c r="B434" s="399"/>
      <c r="D434" s="123"/>
      <c r="E434" s="123"/>
      <c r="F434" s="125"/>
      <c r="G434" s="125"/>
      <c r="I434" s="126"/>
      <c r="J434" s="402"/>
      <c r="K434" s="401"/>
    </row>
    <row r="435">
      <c r="A435" s="121"/>
      <c r="B435" s="399"/>
      <c r="D435" s="123"/>
      <c r="E435" s="123"/>
      <c r="F435" s="125"/>
      <c r="G435" s="125"/>
      <c r="I435" s="126"/>
      <c r="J435" s="402"/>
      <c r="K435" s="401"/>
    </row>
    <row r="436">
      <c r="A436" s="121"/>
      <c r="B436" s="399"/>
      <c r="D436" s="123"/>
      <c r="E436" s="123"/>
      <c r="F436" s="125"/>
      <c r="G436" s="125"/>
      <c r="I436" s="126"/>
      <c r="J436" s="402"/>
      <c r="K436" s="401"/>
    </row>
    <row r="437">
      <c r="A437" s="121"/>
      <c r="B437" s="399"/>
      <c r="D437" s="123"/>
      <c r="E437" s="123"/>
      <c r="F437" s="125"/>
      <c r="G437" s="125"/>
      <c r="I437" s="126"/>
      <c r="J437" s="402"/>
      <c r="K437" s="401"/>
    </row>
    <row r="438">
      <c r="A438" s="121"/>
      <c r="B438" s="399"/>
      <c r="D438" s="123"/>
      <c r="E438" s="123"/>
      <c r="F438" s="125"/>
      <c r="G438" s="125"/>
      <c r="I438" s="126"/>
      <c r="J438" s="402"/>
      <c r="K438" s="401"/>
    </row>
    <row r="439">
      <c r="A439" s="121"/>
      <c r="B439" s="399"/>
      <c r="D439" s="123"/>
      <c r="E439" s="123"/>
      <c r="F439" s="125"/>
      <c r="G439" s="125"/>
      <c r="I439" s="126"/>
      <c r="J439" s="402"/>
      <c r="K439" s="401"/>
    </row>
    <row r="440">
      <c r="A440" s="121"/>
      <c r="B440" s="399"/>
      <c r="D440" s="123"/>
      <c r="E440" s="123"/>
      <c r="F440" s="125"/>
      <c r="G440" s="125"/>
      <c r="I440" s="126"/>
      <c r="J440" s="402"/>
      <c r="K440" s="401"/>
    </row>
    <row r="441">
      <c r="A441" s="121"/>
      <c r="B441" s="399"/>
      <c r="D441" s="123"/>
      <c r="E441" s="123"/>
      <c r="F441" s="125"/>
      <c r="G441" s="125"/>
      <c r="I441" s="126"/>
      <c r="J441" s="402"/>
      <c r="K441" s="401"/>
    </row>
    <row r="442">
      <c r="A442" s="121"/>
      <c r="B442" s="399"/>
      <c r="D442" s="123"/>
      <c r="E442" s="123"/>
      <c r="F442" s="125"/>
      <c r="G442" s="125"/>
      <c r="I442" s="126"/>
      <c r="J442" s="402"/>
      <c r="K442" s="401"/>
    </row>
    <row r="443">
      <c r="A443" s="121"/>
      <c r="B443" s="399"/>
      <c r="D443" s="123"/>
      <c r="E443" s="123"/>
      <c r="F443" s="125"/>
      <c r="G443" s="125"/>
      <c r="I443" s="126"/>
      <c r="J443" s="402"/>
      <c r="K443" s="401"/>
    </row>
    <row r="444">
      <c r="A444" s="121"/>
      <c r="B444" s="399"/>
      <c r="D444" s="123"/>
      <c r="E444" s="123"/>
      <c r="F444" s="125"/>
      <c r="G444" s="125"/>
      <c r="I444" s="126"/>
      <c r="J444" s="402"/>
      <c r="K444" s="401"/>
    </row>
    <row r="445">
      <c r="A445" s="121"/>
      <c r="B445" s="399"/>
      <c r="D445" s="123"/>
      <c r="E445" s="123"/>
      <c r="F445" s="125"/>
      <c r="G445" s="125"/>
      <c r="I445" s="126"/>
      <c r="J445" s="402"/>
      <c r="K445" s="401"/>
    </row>
    <row r="446">
      <c r="A446" s="121"/>
      <c r="B446" s="399"/>
      <c r="D446" s="123"/>
      <c r="E446" s="123"/>
      <c r="F446" s="125"/>
      <c r="G446" s="125"/>
      <c r="I446" s="126"/>
      <c r="J446" s="402"/>
      <c r="K446" s="401"/>
    </row>
    <row r="447">
      <c r="A447" s="121"/>
      <c r="B447" s="399"/>
      <c r="D447" s="123"/>
      <c r="E447" s="123"/>
      <c r="F447" s="125"/>
      <c r="G447" s="125"/>
      <c r="I447" s="126"/>
      <c r="J447" s="402"/>
      <c r="K447" s="401"/>
    </row>
    <row r="448">
      <c r="A448" s="121"/>
      <c r="B448" s="399"/>
      <c r="D448" s="123"/>
      <c r="E448" s="123"/>
      <c r="F448" s="125"/>
      <c r="G448" s="125"/>
      <c r="I448" s="126"/>
      <c r="J448" s="402"/>
      <c r="K448" s="401"/>
    </row>
    <row r="449">
      <c r="A449" s="121"/>
      <c r="B449" s="399"/>
      <c r="D449" s="123"/>
      <c r="E449" s="123"/>
      <c r="F449" s="125"/>
      <c r="G449" s="125"/>
      <c r="I449" s="126"/>
      <c r="J449" s="402"/>
      <c r="K449" s="401"/>
    </row>
    <row r="450">
      <c r="A450" s="121"/>
      <c r="B450" s="399"/>
      <c r="D450" s="123"/>
      <c r="E450" s="123"/>
      <c r="F450" s="125"/>
      <c r="G450" s="125"/>
      <c r="I450" s="126"/>
      <c r="J450" s="402"/>
      <c r="K450" s="401"/>
    </row>
    <row r="451">
      <c r="A451" s="121"/>
      <c r="B451" s="399"/>
      <c r="D451" s="123"/>
      <c r="E451" s="123"/>
      <c r="F451" s="125"/>
      <c r="G451" s="125"/>
      <c r="I451" s="126"/>
      <c r="J451" s="402"/>
      <c r="K451" s="401"/>
    </row>
    <row r="452">
      <c r="A452" s="121"/>
      <c r="B452" s="399"/>
      <c r="D452" s="123"/>
      <c r="E452" s="123"/>
      <c r="F452" s="125"/>
      <c r="G452" s="125"/>
      <c r="I452" s="126"/>
      <c r="J452" s="402"/>
      <c r="K452" s="401"/>
    </row>
    <row r="453">
      <c r="A453" s="121"/>
      <c r="B453" s="399"/>
      <c r="D453" s="123"/>
      <c r="E453" s="123"/>
      <c r="F453" s="125"/>
      <c r="G453" s="125"/>
      <c r="I453" s="126"/>
      <c r="J453" s="402"/>
      <c r="K453" s="401"/>
    </row>
    <row r="454">
      <c r="A454" s="121"/>
      <c r="B454" s="399"/>
      <c r="D454" s="123"/>
      <c r="E454" s="123"/>
      <c r="F454" s="125"/>
      <c r="G454" s="125"/>
      <c r="I454" s="126"/>
      <c r="J454" s="402"/>
      <c r="K454" s="401"/>
    </row>
    <row r="455">
      <c r="A455" s="121"/>
      <c r="B455" s="399"/>
      <c r="D455" s="123"/>
      <c r="E455" s="123"/>
      <c r="F455" s="125"/>
      <c r="G455" s="125"/>
      <c r="I455" s="126"/>
      <c r="J455" s="402"/>
      <c r="K455" s="401"/>
    </row>
    <row r="456">
      <c r="A456" s="121"/>
      <c r="B456" s="399"/>
      <c r="D456" s="123"/>
      <c r="E456" s="123"/>
      <c r="F456" s="125"/>
      <c r="G456" s="125"/>
      <c r="I456" s="126"/>
      <c r="J456" s="402"/>
      <c r="K456" s="401"/>
    </row>
    <row r="457">
      <c r="A457" s="121"/>
      <c r="B457" s="399"/>
      <c r="D457" s="123"/>
      <c r="E457" s="123"/>
      <c r="F457" s="125"/>
      <c r="G457" s="125"/>
      <c r="I457" s="126"/>
      <c r="J457" s="402"/>
      <c r="K457" s="401"/>
    </row>
    <row r="458">
      <c r="A458" s="121"/>
      <c r="B458" s="399"/>
      <c r="D458" s="123"/>
      <c r="E458" s="123"/>
      <c r="F458" s="125"/>
      <c r="G458" s="125"/>
      <c r="I458" s="126"/>
      <c r="J458" s="402"/>
      <c r="K458" s="401"/>
    </row>
    <row r="459">
      <c r="A459" s="121"/>
      <c r="B459" s="399"/>
      <c r="D459" s="123"/>
      <c r="E459" s="123"/>
      <c r="F459" s="125"/>
      <c r="G459" s="125"/>
      <c r="I459" s="126"/>
      <c r="J459" s="402"/>
      <c r="K459" s="401"/>
    </row>
    <row r="460">
      <c r="A460" s="121"/>
      <c r="B460" s="399"/>
      <c r="D460" s="123"/>
      <c r="E460" s="123"/>
      <c r="F460" s="125"/>
      <c r="G460" s="125"/>
      <c r="I460" s="126"/>
      <c r="J460" s="402"/>
      <c r="K460" s="401"/>
    </row>
    <row r="461">
      <c r="A461" s="121"/>
      <c r="B461" s="399"/>
      <c r="D461" s="123"/>
      <c r="E461" s="123"/>
      <c r="F461" s="125"/>
      <c r="G461" s="125"/>
      <c r="I461" s="126"/>
      <c r="J461" s="402"/>
      <c r="K461" s="401"/>
    </row>
    <row r="462">
      <c r="A462" s="121"/>
      <c r="B462" s="399"/>
      <c r="D462" s="123"/>
      <c r="E462" s="123"/>
      <c r="F462" s="125"/>
      <c r="G462" s="125"/>
      <c r="I462" s="126"/>
      <c r="J462" s="402"/>
      <c r="K462" s="401"/>
    </row>
    <row r="463">
      <c r="A463" s="121"/>
      <c r="B463" s="399"/>
      <c r="D463" s="123"/>
      <c r="E463" s="123"/>
      <c r="F463" s="125"/>
      <c r="G463" s="125"/>
      <c r="I463" s="126"/>
      <c r="J463" s="402"/>
      <c r="K463" s="401"/>
    </row>
    <row r="464">
      <c r="A464" s="121"/>
      <c r="B464" s="399"/>
      <c r="D464" s="123"/>
      <c r="E464" s="123"/>
      <c r="F464" s="125"/>
      <c r="G464" s="125"/>
      <c r="I464" s="126"/>
      <c r="J464" s="402"/>
      <c r="K464" s="401"/>
    </row>
    <row r="465">
      <c r="A465" s="121"/>
      <c r="B465" s="399"/>
      <c r="D465" s="123"/>
      <c r="E465" s="123"/>
      <c r="F465" s="125"/>
      <c r="G465" s="125"/>
      <c r="I465" s="126"/>
      <c r="J465" s="402"/>
      <c r="K465" s="401"/>
    </row>
    <row r="466">
      <c r="A466" s="121"/>
      <c r="B466" s="399"/>
      <c r="D466" s="123"/>
      <c r="E466" s="123"/>
      <c r="F466" s="125"/>
      <c r="G466" s="125"/>
      <c r="I466" s="126"/>
      <c r="J466" s="402"/>
      <c r="K466" s="401"/>
    </row>
    <row r="467">
      <c r="A467" s="121"/>
      <c r="B467" s="399"/>
      <c r="D467" s="123"/>
      <c r="E467" s="123"/>
      <c r="F467" s="125"/>
      <c r="G467" s="125"/>
      <c r="I467" s="126"/>
      <c r="J467" s="402"/>
      <c r="K467" s="401"/>
    </row>
    <row r="468">
      <c r="A468" s="121"/>
      <c r="B468" s="399"/>
      <c r="D468" s="123"/>
      <c r="E468" s="123"/>
      <c r="F468" s="125"/>
      <c r="G468" s="125"/>
      <c r="I468" s="126"/>
      <c r="J468" s="402"/>
      <c r="K468" s="401"/>
    </row>
    <row r="469">
      <c r="A469" s="121"/>
      <c r="B469" s="399"/>
      <c r="D469" s="123"/>
      <c r="E469" s="123"/>
      <c r="F469" s="125"/>
      <c r="G469" s="125"/>
      <c r="I469" s="126"/>
      <c r="J469" s="402"/>
      <c r="K469" s="401"/>
    </row>
    <row r="470">
      <c r="A470" s="121"/>
      <c r="B470" s="399"/>
      <c r="D470" s="123"/>
      <c r="E470" s="123"/>
      <c r="F470" s="125"/>
      <c r="G470" s="125"/>
      <c r="I470" s="126"/>
      <c r="J470" s="402"/>
      <c r="K470" s="401"/>
    </row>
    <row r="471">
      <c r="A471" s="121"/>
      <c r="B471" s="399"/>
      <c r="D471" s="123"/>
      <c r="E471" s="123"/>
      <c r="F471" s="125"/>
      <c r="G471" s="125"/>
      <c r="I471" s="126"/>
      <c r="J471" s="402"/>
      <c r="K471" s="401"/>
    </row>
    <row r="472">
      <c r="A472" s="121"/>
      <c r="B472" s="399"/>
      <c r="D472" s="123"/>
      <c r="E472" s="123"/>
      <c r="F472" s="125"/>
      <c r="G472" s="125"/>
      <c r="I472" s="126"/>
      <c r="J472" s="402"/>
      <c r="K472" s="401"/>
    </row>
    <row r="473">
      <c r="A473" s="121"/>
      <c r="B473" s="399"/>
      <c r="D473" s="123"/>
      <c r="E473" s="123"/>
      <c r="F473" s="125"/>
      <c r="G473" s="125"/>
      <c r="I473" s="126"/>
      <c r="J473" s="402"/>
      <c r="K473" s="401"/>
    </row>
    <row r="474">
      <c r="A474" s="121"/>
      <c r="B474" s="399"/>
      <c r="D474" s="123"/>
      <c r="E474" s="123"/>
      <c r="F474" s="125"/>
      <c r="G474" s="125"/>
      <c r="I474" s="126"/>
      <c r="J474" s="402"/>
      <c r="K474" s="401"/>
    </row>
    <row r="475">
      <c r="A475" s="121"/>
      <c r="B475" s="399"/>
      <c r="D475" s="123"/>
      <c r="E475" s="123"/>
      <c r="F475" s="125"/>
      <c r="G475" s="125"/>
      <c r="I475" s="126"/>
      <c r="J475" s="402"/>
      <c r="K475" s="401"/>
    </row>
    <row r="476">
      <c r="A476" s="121"/>
      <c r="B476" s="399"/>
      <c r="D476" s="123"/>
      <c r="E476" s="123"/>
      <c r="F476" s="125"/>
      <c r="G476" s="125"/>
      <c r="I476" s="126"/>
      <c r="J476" s="402"/>
      <c r="K476" s="401"/>
    </row>
    <row r="477">
      <c r="A477" s="121"/>
      <c r="B477" s="399"/>
      <c r="D477" s="123"/>
      <c r="E477" s="123"/>
      <c r="F477" s="125"/>
      <c r="G477" s="125"/>
      <c r="I477" s="126"/>
      <c r="J477" s="402"/>
      <c r="K477" s="401"/>
    </row>
    <row r="478">
      <c r="A478" s="121"/>
      <c r="B478" s="399"/>
      <c r="D478" s="123"/>
      <c r="E478" s="123"/>
      <c r="F478" s="125"/>
      <c r="G478" s="125"/>
      <c r="I478" s="126"/>
      <c r="J478" s="402"/>
      <c r="K478" s="401"/>
    </row>
    <row r="479">
      <c r="A479" s="121"/>
      <c r="B479" s="399"/>
      <c r="D479" s="123"/>
      <c r="E479" s="123"/>
      <c r="F479" s="125"/>
      <c r="G479" s="125"/>
      <c r="I479" s="126"/>
      <c r="J479" s="402"/>
      <c r="K479" s="401"/>
    </row>
    <row r="480">
      <c r="A480" s="121"/>
      <c r="B480" s="399"/>
      <c r="D480" s="123"/>
      <c r="E480" s="123"/>
      <c r="F480" s="125"/>
      <c r="G480" s="125"/>
      <c r="I480" s="126"/>
      <c r="J480" s="402"/>
      <c r="K480" s="401"/>
    </row>
    <row r="481">
      <c r="A481" s="121"/>
      <c r="B481" s="399"/>
      <c r="D481" s="123"/>
      <c r="E481" s="123"/>
      <c r="F481" s="125"/>
      <c r="G481" s="125"/>
      <c r="I481" s="126"/>
      <c r="J481" s="402"/>
      <c r="K481" s="401"/>
    </row>
    <row r="482">
      <c r="A482" s="121"/>
      <c r="B482" s="399"/>
      <c r="D482" s="123"/>
      <c r="E482" s="123"/>
      <c r="F482" s="125"/>
      <c r="G482" s="125"/>
      <c r="I482" s="126"/>
      <c r="J482" s="402"/>
      <c r="K482" s="401"/>
    </row>
    <row r="483">
      <c r="A483" s="121"/>
      <c r="B483" s="399"/>
      <c r="D483" s="123"/>
      <c r="E483" s="123"/>
      <c r="F483" s="125"/>
      <c r="G483" s="125"/>
      <c r="I483" s="126"/>
      <c r="J483" s="402"/>
      <c r="K483" s="401"/>
    </row>
    <row r="484">
      <c r="A484" s="121"/>
      <c r="B484" s="399"/>
      <c r="D484" s="123"/>
      <c r="E484" s="123"/>
      <c r="F484" s="125"/>
      <c r="G484" s="125"/>
      <c r="I484" s="126"/>
      <c r="J484" s="402"/>
      <c r="K484" s="401"/>
    </row>
    <row r="485">
      <c r="A485" s="121"/>
      <c r="B485" s="399"/>
      <c r="D485" s="123"/>
      <c r="E485" s="123"/>
      <c r="F485" s="125"/>
      <c r="G485" s="125"/>
      <c r="I485" s="126"/>
      <c r="J485" s="402"/>
      <c r="K485" s="401"/>
    </row>
    <row r="486">
      <c r="A486" s="121"/>
      <c r="B486" s="399"/>
      <c r="D486" s="123"/>
      <c r="E486" s="123"/>
      <c r="F486" s="125"/>
      <c r="G486" s="125"/>
      <c r="I486" s="126"/>
      <c r="J486" s="402"/>
      <c r="K486" s="401"/>
    </row>
    <row r="487">
      <c r="A487" s="121"/>
      <c r="B487" s="399"/>
      <c r="D487" s="123"/>
      <c r="E487" s="123"/>
      <c r="F487" s="125"/>
      <c r="G487" s="125"/>
      <c r="I487" s="126"/>
      <c r="J487" s="402"/>
      <c r="K487" s="401"/>
    </row>
    <row r="488">
      <c r="A488" s="121"/>
      <c r="B488" s="399"/>
      <c r="D488" s="123"/>
      <c r="E488" s="123"/>
      <c r="F488" s="125"/>
      <c r="G488" s="125"/>
      <c r="I488" s="126"/>
      <c r="J488" s="402"/>
      <c r="K488" s="401"/>
    </row>
    <row r="489">
      <c r="A489" s="121"/>
      <c r="B489" s="399"/>
      <c r="D489" s="123"/>
      <c r="E489" s="123"/>
      <c r="F489" s="125"/>
      <c r="G489" s="125"/>
      <c r="I489" s="126"/>
      <c r="J489" s="402"/>
      <c r="K489" s="401"/>
    </row>
    <row r="490">
      <c r="A490" s="121"/>
      <c r="B490" s="399"/>
      <c r="D490" s="123"/>
      <c r="E490" s="123"/>
      <c r="F490" s="125"/>
      <c r="G490" s="125"/>
      <c r="I490" s="126"/>
      <c r="J490" s="402"/>
      <c r="K490" s="401"/>
    </row>
    <row r="491">
      <c r="A491" s="121"/>
      <c r="B491" s="399"/>
      <c r="D491" s="123"/>
      <c r="E491" s="123"/>
      <c r="F491" s="125"/>
      <c r="G491" s="125"/>
      <c r="I491" s="126"/>
      <c r="J491" s="402"/>
      <c r="K491" s="401"/>
    </row>
    <row r="492">
      <c r="A492" s="121"/>
      <c r="B492" s="399"/>
      <c r="D492" s="123"/>
      <c r="E492" s="123"/>
      <c r="F492" s="125"/>
      <c r="G492" s="125"/>
      <c r="I492" s="126"/>
      <c r="J492" s="402"/>
      <c r="K492" s="401"/>
    </row>
    <row r="493">
      <c r="A493" s="121"/>
      <c r="B493" s="399"/>
      <c r="D493" s="123"/>
      <c r="E493" s="123"/>
      <c r="F493" s="125"/>
      <c r="G493" s="125"/>
      <c r="I493" s="126"/>
      <c r="J493" s="402"/>
      <c r="K493" s="401"/>
    </row>
    <row r="494">
      <c r="A494" s="121"/>
      <c r="B494" s="399"/>
      <c r="D494" s="123"/>
      <c r="E494" s="123"/>
      <c r="F494" s="125"/>
      <c r="G494" s="125"/>
      <c r="I494" s="126"/>
      <c r="J494" s="402"/>
      <c r="K494" s="401"/>
    </row>
    <row r="495">
      <c r="A495" s="121"/>
      <c r="B495" s="399"/>
      <c r="D495" s="123"/>
      <c r="E495" s="123"/>
      <c r="F495" s="125"/>
      <c r="G495" s="125"/>
      <c r="I495" s="126"/>
      <c r="J495" s="402"/>
      <c r="K495" s="401"/>
    </row>
    <row r="496">
      <c r="A496" s="121"/>
      <c r="B496" s="399"/>
      <c r="D496" s="123"/>
      <c r="E496" s="123"/>
      <c r="F496" s="125"/>
      <c r="G496" s="125"/>
      <c r="I496" s="126"/>
      <c r="J496" s="402"/>
      <c r="K496" s="401"/>
    </row>
    <row r="497">
      <c r="A497" s="121"/>
      <c r="B497" s="399"/>
      <c r="D497" s="123"/>
      <c r="E497" s="123"/>
      <c r="F497" s="125"/>
      <c r="G497" s="125"/>
      <c r="I497" s="126"/>
      <c r="J497" s="402"/>
      <c r="K497" s="401"/>
    </row>
    <row r="498">
      <c r="A498" s="121"/>
      <c r="B498" s="399"/>
      <c r="D498" s="123"/>
      <c r="E498" s="123"/>
      <c r="F498" s="125"/>
      <c r="G498" s="125"/>
      <c r="I498" s="126"/>
      <c r="J498" s="402"/>
      <c r="K498" s="401"/>
    </row>
    <row r="499">
      <c r="A499" s="121"/>
      <c r="B499" s="399"/>
      <c r="D499" s="123"/>
      <c r="E499" s="123"/>
      <c r="F499" s="125"/>
      <c r="G499" s="125"/>
      <c r="I499" s="126"/>
      <c r="J499" s="402"/>
      <c r="K499" s="401"/>
    </row>
    <row r="500">
      <c r="A500" s="121"/>
      <c r="B500" s="399"/>
      <c r="D500" s="123"/>
      <c r="E500" s="123"/>
      <c r="F500" s="125"/>
      <c r="G500" s="125"/>
      <c r="I500" s="126"/>
      <c r="J500" s="402"/>
      <c r="K500" s="401"/>
    </row>
    <row r="501">
      <c r="A501" s="121"/>
      <c r="B501" s="399"/>
      <c r="D501" s="123"/>
      <c r="E501" s="123"/>
      <c r="F501" s="125"/>
      <c r="G501" s="125"/>
      <c r="I501" s="126"/>
      <c r="J501" s="402"/>
      <c r="K501" s="401"/>
    </row>
    <row r="502">
      <c r="A502" s="121"/>
      <c r="B502" s="399"/>
      <c r="D502" s="123"/>
      <c r="E502" s="123"/>
      <c r="F502" s="125"/>
      <c r="G502" s="125"/>
      <c r="I502" s="126"/>
      <c r="J502" s="402"/>
      <c r="K502" s="401"/>
    </row>
    <row r="503">
      <c r="A503" s="121"/>
      <c r="B503" s="399"/>
      <c r="D503" s="123"/>
      <c r="E503" s="123"/>
      <c r="F503" s="125"/>
      <c r="G503" s="125"/>
      <c r="I503" s="126"/>
      <c r="J503" s="402"/>
      <c r="K503" s="401"/>
    </row>
    <row r="504">
      <c r="A504" s="121"/>
      <c r="B504" s="399"/>
      <c r="D504" s="123"/>
      <c r="E504" s="123"/>
      <c r="F504" s="125"/>
      <c r="G504" s="125"/>
      <c r="I504" s="126"/>
      <c r="J504" s="402"/>
      <c r="K504" s="401"/>
    </row>
    <row r="505">
      <c r="A505" s="121"/>
      <c r="B505" s="399"/>
      <c r="D505" s="123"/>
      <c r="E505" s="123"/>
      <c r="F505" s="125"/>
      <c r="G505" s="125"/>
      <c r="I505" s="126"/>
      <c r="J505" s="402"/>
      <c r="K505" s="401"/>
    </row>
    <row r="506">
      <c r="A506" s="121"/>
      <c r="B506" s="399"/>
      <c r="D506" s="123"/>
      <c r="E506" s="123"/>
      <c r="F506" s="125"/>
      <c r="G506" s="125"/>
      <c r="I506" s="126"/>
      <c r="J506" s="402"/>
      <c r="K506" s="401"/>
    </row>
    <row r="507">
      <c r="A507" s="121"/>
      <c r="B507" s="399"/>
      <c r="D507" s="123"/>
      <c r="E507" s="123"/>
      <c r="F507" s="125"/>
      <c r="G507" s="125"/>
      <c r="I507" s="126"/>
      <c r="J507" s="402"/>
      <c r="K507" s="401"/>
    </row>
    <row r="508">
      <c r="A508" s="121"/>
      <c r="B508" s="399"/>
      <c r="D508" s="123"/>
      <c r="E508" s="123"/>
      <c r="F508" s="125"/>
      <c r="G508" s="125"/>
      <c r="I508" s="126"/>
      <c r="J508" s="402"/>
      <c r="K508" s="401"/>
    </row>
    <row r="509">
      <c r="A509" s="121"/>
      <c r="B509" s="399"/>
      <c r="D509" s="123"/>
      <c r="E509" s="123"/>
      <c r="F509" s="125"/>
      <c r="G509" s="125"/>
      <c r="I509" s="126"/>
      <c r="J509" s="402"/>
      <c r="K509" s="401"/>
    </row>
    <row r="510">
      <c r="A510" s="121"/>
      <c r="B510" s="399"/>
      <c r="D510" s="123"/>
      <c r="E510" s="123"/>
      <c r="F510" s="125"/>
      <c r="G510" s="125"/>
      <c r="I510" s="126"/>
      <c r="J510" s="402"/>
      <c r="K510" s="401"/>
    </row>
    <row r="511">
      <c r="A511" s="121"/>
      <c r="B511" s="399"/>
      <c r="D511" s="123"/>
      <c r="E511" s="123"/>
      <c r="F511" s="125"/>
      <c r="G511" s="125"/>
      <c r="I511" s="126"/>
      <c r="J511" s="402"/>
      <c r="K511" s="401"/>
    </row>
    <row r="512">
      <c r="A512" s="121"/>
      <c r="B512" s="399"/>
      <c r="D512" s="123"/>
      <c r="E512" s="123"/>
      <c r="F512" s="125"/>
      <c r="G512" s="125"/>
      <c r="I512" s="126"/>
      <c r="J512" s="402"/>
      <c r="K512" s="401"/>
    </row>
    <row r="513">
      <c r="A513" s="121"/>
      <c r="B513" s="399"/>
      <c r="D513" s="123"/>
      <c r="E513" s="123"/>
      <c r="F513" s="125"/>
      <c r="G513" s="125"/>
      <c r="I513" s="126"/>
      <c r="J513" s="402"/>
      <c r="K513" s="401"/>
    </row>
    <row r="514">
      <c r="A514" s="121"/>
      <c r="B514" s="399"/>
      <c r="D514" s="123"/>
      <c r="E514" s="123"/>
      <c r="F514" s="125"/>
      <c r="G514" s="125"/>
      <c r="I514" s="126"/>
      <c r="J514" s="402"/>
      <c r="K514" s="401"/>
    </row>
    <row r="515">
      <c r="A515" s="121"/>
      <c r="B515" s="399"/>
      <c r="D515" s="123"/>
      <c r="E515" s="123"/>
      <c r="F515" s="125"/>
      <c r="G515" s="125"/>
      <c r="I515" s="126"/>
      <c r="J515" s="402"/>
      <c r="K515" s="401"/>
    </row>
    <row r="516">
      <c r="A516" s="121"/>
      <c r="B516" s="399"/>
      <c r="D516" s="123"/>
      <c r="E516" s="123"/>
      <c r="F516" s="125"/>
      <c r="G516" s="125"/>
      <c r="I516" s="126"/>
      <c r="J516" s="402"/>
      <c r="K516" s="401"/>
    </row>
    <row r="517">
      <c r="A517" s="121"/>
      <c r="B517" s="399"/>
      <c r="D517" s="123"/>
      <c r="E517" s="123"/>
      <c r="F517" s="125"/>
      <c r="G517" s="125"/>
      <c r="I517" s="126"/>
      <c r="J517" s="402"/>
      <c r="K517" s="401"/>
    </row>
    <row r="518">
      <c r="A518" s="121"/>
      <c r="B518" s="399"/>
      <c r="D518" s="123"/>
      <c r="E518" s="123"/>
      <c r="F518" s="125"/>
      <c r="G518" s="125"/>
      <c r="I518" s="126"/>
      <c r="J518" s="402"/>
      <c r="K518" s="401"/>
    </row>
    <row r="519">
      <c r="A519" s="121"/>
      <c r="B519" s="399"/>
      <c r="D519" s="123"/>
      <c r="E519" s="123"/>
      <c r="F519" s="125"/>
      <c r="G519" s="125"/>
      <c r="I519" s="126"/>
      <c r="J519" s="402"/>
      <c r="K519" s="401"/>
    </row>
    <row r="520">
      <c r="A520" s="121"/>
      <c r="B520" s="399"/>
      <c r="D520" s="123"/>
      <c r="E520" s="123"/>
      <c r="F520" s="125"/>
      <c r="G520" s="125"/>
      <c r="I520" s="126"/>
      <c r="J520" s="402"/>
      <c r="K520" s="401"/>
    </row>
    <row r="521">
      <c r="A521" s="121"/>
      <c r="B521" s="399"/>
      <c r="D521" s="123"/>
      <c r="E521" s="123"/>
      <c r="F521" s="125"/>
      <c r="G521" s="125"/>
      <c r="I521" s="126"/>
      <c r="J521" s="402"/>
      <c r="K521" s="401"/>
    </row>
    <row r="522">
      <c r="A522" s="121"/>
      <c r="B522" s="399"/>
      <c r="D522" s="123"/>
      <c r="E522" s="123"/>
      <c r="F522" s="125"/>
      <c r="G522" s="125"/>
      <c r="I522" s="126"/>
      <c r="J522" s="402"/>
      <c r="K522" s="401"/>
    </row>
    <row r="523">
      <c r="A523" s="121"/>
      <c r="B523" s="399"/>
      <c r="D523" s="123"/>
      <c r="E523" s="123"/>
      <c r="F523" s="125"/>
      <c r="G523" s="125"/>
      <c r="I523" s="126"/>
      <c r="J523" s="402"/>
      <c r="K523" s="401"/>
    </row>
    <row r="524">
      <c r="A524" s="121"/>
      <c r="B524" s="399"/>
      <c r="D524" s="123"/>
      <c r="E524" s="123"/>
      <c r="F524" s="125"/>
      <c r="G524" s="125"/>
      <c r="I524" s="126"/>
      <c r="J524" s="402"/>
      <c r="K524" s="401"/>
    </row>
    <row r="525">
      <c r="A525" s="121"/>
      <c r="B525" s="399"/>
      <c r="D525" s="123"/>
      <c r="E525" s="123"/>
      <c r="F525" s="125"/>
      <c r="G525" s="125"/>
      <c r="I525" s="126"/>
      <c r="J525" s="402"/>
      <c r="K525" s="401"/>
    </row>
    <row r="526">
      <c r="A526" s="121"/>
      <c r="B526" s="399"/>
      <c r="D526" s="123"/>
      <c r="E526" s="123"/>
      <c r="F526" s="125"/>
      <c r="G526" s="125"/>
      <c r="I526" s="126"/>
      <c r="J526" s="402"/>
      <c r="K526" s="401"/>
    </row>
    <row r="527">
      <c r="A527" s="121"/>
      <c r="B527" s="399"/>
      <c r="D527" s="123"/>
      <c r="E527" s="123"/>
      <c r="F527" s="125"/>
      <c r="G527" s="125"/>
      <c r="I527" s="126"/>
      <c r="J527" s="402"/>
      <c r="K527" s="401"/>
    </row>
    <row r="528">
      <c r="A528" s="121"/>
      <c r="B528" s="399"/>
      <c r="D528" s="123"/>
      <c r="E528" s="123"/>
      <c r="F528" s="125"/>
      <c r="G528" s="125"/>
      <c r="I528" s="126"/>
      <c r="J528" s="402"/>
      <c r="K528" s="401"/>
    </row>
    <row r="529">
      <c r="A529" s="121"/>
      <c r="B529" s="399"/>
      <c r="D529" s="123"/>
      <c r="E529" s="123"/>
      <c r="F529" s="125"/>
      <c r="G529" s="125"/>
      <c r="I529" s="126"/>
      <c r="J529" s="402"/>
      <c r="K529" s="401"/>
    </row>
    <row r="530">
      <c r="A530" s="121"/>
      <c r="B530" s="399"/>
      <c r="D530" s="123"/>
      <c r="E530" s="123"/>
      <c r="F530" s="125"/>
      <c r="G530" s="125"/>
      <c r="I530" s="126"/>
      <c r="J530" s="402"/>
      <c r="K530" s="401"/>
    </row>
    <row r="531">
      <c r="A531" s="121"/>
      <c r="B531" s="399"/>
      <c r="D531" s="123"/>
      <c r="E531" s="123"/>
      <c r="F531" s="125"/>
      <c r="G531" s="125"/>
      <c r="I531" s="126"/>
      <c r="J531" s="402"/>
      <c r="K531" s="401"/>
    </row>
    <row r="532">
      <c r="A532" s="121"/>
      <c r="B532" s="399"/>
      <c r="D532" s="123"/>
      <c r="E532" s="123"/>
      <c r="F532" s="125"/>
      <c r="G532" s="125"/>
      <c r="I532" s="126"/>
      <c r="J532" s="402"/>
      <c r="K532" s="401"/>
    </row>
    <row r="533">
      <c r="A533" s="121"/>
      <c r="B533" s="399"/>
      <c r="D533" s="123"/>
      <c r="E533" s="123"/>
      <c r="F533" s="125"/>
      <c r="G533" s="125"/>
      <c r="I533" s="126"/>
      <c r="J533" s="402"/>
      <c r="K533" s="401"/>
    </row>
    <row r="534">
      <c r="A534" s="121"/>
      <c r="B534" s="399"/>
      <c r="D534" s="123"/>
      <c r="E534" s="123"/>
      <c r="F534" s="125"/>
      <c r="G534" s="125"/>
      <c r="I534" s="126"/>
      <c r="J534" s="402"/>
      <c r="K534" s="401"/>
    </row>
    <row r="535">
      <c r="A535" s="121"/>
      <c r="B535" s="399"/>
      <c r="D535" s="123"/>
      <c r="E535" s="123"/>
      <c r="F535" s="125"/>
      <c r="G535" s="125"/>
      <c r="I535" s="126"/>
      <c r="J535" s="402"/>
      <c r="K535" s="401"/>
    </row>
    <row r="536">
      <c r="A536" s="121"/>
      <c r="B536" s="399"/>
      <c r="D536" s="123"/>
      <c r="E536" s="123"/>
      <c r="F536" s="125"/>
      <c r="G536" s="125"/>
      <c r="I536" s="126"/>
      <c r="J536" s="402"/>
      <c r="K536" s="401"/>
    </row>
    <row r="537">
      <c r="A537" s="121"/>
      <c r="B537" s="399"/>
      <c r="D537" s="123"/>
      <c r="E537" s="123"/>
      <c r="F537" s="125"/>
      <c r="G537" s="125"/>
      <c r="I537" s="126"/>
      <c r="J537" s="402"/>
      <c r="K537" s="401"/>
    </row>
    <row r="538">
      <c r="A538" s="121"/>
      <c r="B538" s="399"/>
      <c r="D538" s="123"/>
      <c r="E538" s="123"/>
      <c r="F538" s="125"/>
      <c r="G538" s="125"/>
      <c r="I538" s="126"/>
      <c r="J538" s="402"/>
      <c r="K538" s="401"/>
    </row>
    <row r="539">
      <c r="A539" s="121"/>
      <c r="B539" s="399"/>
      <c r="D539" s="123"/>
      <c r="E539" s="123"/>
      <c r="F539" s="125"/>
      <c r="G539" s="125"/>
      <c r="I539" s="126"/>
      <c r="J539" s="402"/>
      <c r="K539" s="401"/>
    </row>
    <row r="540">
      <c r="A540" s="121"/>
      <c r="B540" s="399"/>
      <c r="D540" s="123"/>
      <c r="E540" s="123"/>
      <c r="F540" s="125"/>
      <c r="G540" s="125"/>
      <c r="I540" s="126"/>
      <c r="J540" s="402"/>
      <c r="K540" s="401"/>
    </row>
    <row r="541">
      <c r="A541" s="121"/>
      <c r="B541" s="399"/>
      <c r="D541" s="123"/>
      <c r="E541" s="123"/>
      <c r="F541" s="125"/>
      <c r="G541" s="125"/>
      <c r="I541" s="126"/>
      <c r="J541" s="402"/>
      <c r="K541" s="401"/>
    </row>
    <row r="542">
      <c r="A542" s="121"/>
      <c r="B542" s="399"/>
      <c r="D542" s="123"/>
      <c r="E542" s="123"/>
      <c r="F542" s="125"/>
      <c r="G542" s="125"/>
      <c r="I542" s="126"/>
      <c r="J542" s="402"/>
      <c r="K542" s="401"/>
    </row>
    <row r="543">
      <c r="A543" s="121"/>
      <c r="B543" s="399"/>
      <c r="D543" s="123"/>
      <c r="E543" s="123"/>
      <c r="F543" s="125"/>
      <c r="G543" s="125"/>
      <c r="I543" s="126"/>
      <c r="J543" s="402"/>
      <c r="K543" s="401"/>
    </row>
    <row r="544">
      <c r="A544" s="121"/>
      <c r="B544" s="399"/>
      <c r="D544" s="123"/>
      <c r="E544" s="123"/>
      <c r="F544" s="125"/>
      <c r="G544" s="125"/>
      <c r="I544" s="126"/>
      <c r="J544" s="402"/>
      <c r="K544" s="401"/>
    </row>
    <row r="545">
      <c r="A545" s="121"/>
      <c r="B545" s="399"/>
      <c r="D545" s="123"/>
      <c r="E545" s="123"/>
      <c r="F545" s="125"/>
      <c r="G545" s="125"/>
      <c r="I545" s="126"/>
      <c r="J545" s="402"/>
      <c r="K545" s="401"/>
    </row>
    <row r="546">
      <c r="A546" s="121"/>
      <c r="B546" s="399"/>
      <c r="D546" s="123"/>
      <c r="E546" s="123"/>
      <c r="F546" s="125"/>
      <c r="G546" s="125"/>
      <c r="I546" s="126"/>
      <c r="J546" s="402"/>
      <c r="K546" s="401"/>
    </row>
    <row r="547">
      <c r="A547" s="121"/>
      <c r="B547" s="399"/>
      <c r="D547" s="123"/>
      <c r="E547" s="123"/>
      <c r="F547" s="125"/>
      <c r="G547" s="125"/>
      <c r="I547" s="126"/>
      <c r="J547" s="402"/>
      <c r="K547" s="401"/>
    </row>
    <row r="548">
      <c r="A548" s="121"/>
      <c r="B548" s="399"/>
      <c r="D548" s="123"/>
      <c r="E548" s="123"/>
      <c r="F548" s="125"/>
      <c r="G548" s="125"/>
      <c r="I548" s="126"/>
      <c r="J548" s="402"/>
      <c r="K548" s="401"/>
    </row>
    <row r="549">
      <c r="A549" s="121"/>
      <c r="B549" s="399"/>
      <c r="D549" s="123"/>
      <c r="E549" s="123"/>
      <c r="F549" s="125"/>
      <c r="G549" s="125"/>
      <c r="I549" s="126"/>
      <c r="J549" s="402"/>
      <c r="K549" s="401"/>
    </row>
    <row r="550">
      <c r="A550" s="121"/>
      <c r="B550" s="399"/>
      <c r="D550" s="123"/>
      <c r="E550" s="123"/>
      <c r="F550" s="125"/>
      <c r="G550" s="125"/>
      <c r="I550" s="126"/>
      <c r="J550" s="402"/>
      <c r="K550" s="401"/>
    </row>
    <row r="551">
      <c r="A551" s="121"/>
      <c r="B551" s="399"/>
      <c r="D551" s="123"/>
      <c r="E551" s="123"/>
      <c r="F551" s="125"/>
      <c r="G551" s="125"/>
      <c r="I551" s="126"/>
      <c r="J551" s="402"/>
      <c r="K551" s="401"/>
    </row>
    <row r="552">
      <c r="A552" s="121"/>
      <c r="B552" s="399"/>
      <c r="D552" s="123"/>
      <c r="E552" s="123"/>
      <c r="F552" s="125"/>
      <c r="G552" s="125"/>
      <c r="I552" s="126"/>
      <c r="J552" s="402"/>
      <c r="K552" s="401"/>
    </row>
    <row r="553">
      <c r="A553" s="121"/>
      <c r="B553" s="399"/>
      <c r="D553" s="123"/>
      <c r="E553" s="123"/>
      <c r="F553" s="125"/>
      <c r="G553" s="125"/>
      <c r="I553" s="126"/>
      <c r="J553" s="402"/>
      <c r="K553" s="401"/>
    </row>
    <row r="554">
      <c r="A554" s="121"/>
      <c r="B554" s="399"/>
      <c r="D554" s="123"/>
      <c r="E554" s="123"/>
      <c r="F554" s="125"/>
      <c r="G554" s="125"/>
      <c r="I554" s="126"/>
      <c r="J554" s="402"/>
      <c r="K554" s="401"/>
    </row>
    <row r="555">
      <c r="A555" s="121"/>
      <c r="B555" s="399"/>
      <c r="D555" s="123"/>
      <c r="E555" s="123"/>
      <c r="F555" s="125"/>
      <c r="G555" s="125"/>
      <c r="I555" s="126"/>
      <c r="J555" s="402"/>
      <c r="K555" s="401"/>
    </row>
    <row r="556">
      <c r="A556" s="121"/>
      <c r="B556" s="399"/>
      <c r="D556" s="123"/>
      <c r="E556" s="123"/>
      <c r="F556" s="125"/>
      <c r="G556" s="125"/>
      <c r="I556" s="126"/>
      <c r="J556" s="402"/>
      <c r="K556" s="401"/>
    </row>
    <row r="557">
      <c r="A557" s="121"/>
      <c r="B557" s="399"/>
      <c r="D557" s="123"/>
      <c r="E557" s="123"/>
      <c r="F557" s="125"/>
      <c r="G557" s="125"/>
      <c r="I557" s="126"/>
      <c r="J557" s="402"/>
      <c r="K557" s="401"/>
    </row>
    <row r="558">
      <c r="A558" s="121"/>
      <c r="B558" s="399"/>
      <c r="D558" s="123"/>
      <c r="E558" s="123"/>
      <c r="F558" s="125"/>
      <c r="G558" s="125"/>
      <c r="I558" s="126"/>
      <c r="J558" s="402"/>
      <c r="K558" s="401"/>
    </row>
    <row r="559">
      <c r="A559" s="121"/>
      <c r="B559" s="399"/>
      <c r="D559" s="123"/>
      <c r="E559" s="123"/>
      <c r="F559" s="125"/>
      <c r="G559" s="125"/>
      <c r="I559" s="126"/>
      <c r="J559" s="402"/>
      <c r="K559" s="401"/>
    </row>
    <row r="560">
      <c r="A560" s="121"/>
      <c r="B560" s="399"/>
      <c r="D560" s="123"/>
      <c r="E560" s="123"/>
      <c r="F560" s="125"/>
      <c r="G560" s="125"/>
      <c r="I560" s="126"/>
      <c r="J560" s="402"/>
      <c r="K560" s="401"/>
    </row>
    <row r="561">
      <c r="A561" s="121"/>
      <c r="B561" s="399"/>
      <c r="D561" s="123"/>
      <c r="E561" s="123"/>
      <c r="F561" s="125"/>
      <c r="G561" s="125"/>
      <c r="I561" s="126"/>
      <c r="J561" s="402"/>
      <c r="K561" s="401"/>
    </row>
    <row r="562">
      <c r="A562" s="121"/>
      <c r="B562" s="399"/>
      <c r="D562" s="123"/>
      <c r="E562" s="123"/>
      <c r="F562" s="125"/>
      <c r="G562" s="125"/>
      <c r="I562" s="126"/>
      <c r="J562" s="402"/>
      <c r="K562" s="401"/>
    </row>
    <row r="563">
      <c r="A563" s="121"/>
      <c r="B563" s="399"/>
      <c r="D563" s="123"/>
      <c r="E563" s="123"/>
      <c r="F563" s="125"/>
      <c r="G563" s="125"/>
      <c r="I563" s="126"/>
      <c r="J563" s="402"/>
      <c r="K563" s="401"/>
    </row>
    <row r="564">
      <c r="A564" s="121"/>
      <c r="B564" s="399"/>
      <c r="D564" s="123"/>
      <c r="E564" s="123"/>
      <c r="F564" s="125"/>
      <c r="G564" s="125"/>
      <c r="I564" s="126"/>
      <c r="J564" s="402"/>
      <c r="K564" s="401"/>
    </row>
    <row r="565">
      <c r="A565" s="121"/>
      <c r="B565" s="399"/>
      <c r="D565" s="123"/>
      <c r="E565" s="123"/>
      <c r="F565" s="125"/>
      <c r="G565" s="125"/>
      <c r="I565" s="126"/>
      <c r="J565" s="402"/>
      <c r="K565" s="401"/>
    </row>
    <row r="566">
      <c r="A566" s="121"/>
      <c r="B566" s="399"/>
      <c r="D566" s="123"/>
      <c r="E566" s="123"/>
      <c r="F566" s="125"/>
      <c r="G566" s="125"/>
      <c r="I566" s="126"/>
      <c r="J566" s="402"/>
      <c r="K566" s="401"/>
    </row>
    <row r="567">
      <c r="A567" s="121"/>
      <c r="B567" s="399"/>
      <c r="D567" s="123"/>
      <c r="E567" s="123"/>
      <c r="F567" s="125"/>
      <c r="G567" s="125"/>
      <c r="I567" s="126"/>
      <c r="J567" s="402"/>
      <c r="K567" s="401"/>
    </row>
    <row r="568">
      <c r="A568" s="121"/>
      <c r="B568" s="399"/>
      <c r="D568" s="123"/>
      <c r="E568" s="123"/>
      <c r="F568" s="125"/>
      <c r="G568" s="125"/>
      <c r="I568" s="126"/>
      <c r="J568" s="402"/>
      <c r="K568" s="401"/>
    </row>
    <row r="569">
      <c r="A569" s="121"/>
      <c r="B569" s="399"/>
      <c r="D569" s="123"/>
      <c r="E569" s="123"/>
      <c r="F569" s="125"/>
      <c r="G569" s="125"/>
      <c r="I569" s="126"/>
      <c r="J569" s="402"/>
      <c r="K569" s="401"/>
    </row>
    <row r="570">
      <c r="A570" s="121"/>
      <c r="B570" s="399"/>
      <c r="D570" s="123"/>
      <c r="E570" s="123"/>
      <c r="F570" s="125"/>
      <c r="G570" s="125"/>
      <c r="I570" s="126"/>
      <c r="J570" s="402"/>
      <c r="K570" s="401"/>
    </row>
    <row r="571">
      <c r="A571" s="121"/>
      <c r="B571" s="399"/>
      <c r="D571" s="123"/>
      <c r="E571" s="123"/>
      <c r="F571" s="125"/>
      <c r="G571" s="125"/>
      <c r="I571" s="126"/>
      <c r="J571" s="402"/>
      <c r="K571" s="401"/>
    </row>
    <row r="572">
      <c r="A572" s="121"/>
      <c r="B572" s="399"/>
      <c r="D572" s="123"/>
      <c r="E572" s="123"/>
      <c r="F572" s="125"/>
      <c r="G572" s="125"/>
      <c r="I572" s="126"/>
      <c r="J572" s="402"/>
      <c r="K572" s="401"/>
    </row>
    <row r="573">
      <c r="A573" s="121"/>
      <c r="B573" s="399"/>
      <c r="D573" s="123"/>
      <c r="E573" s="123"/>
      <c r="F573" s="125"/>
      <c r="G573" s="125"/>
      <c r="I573" s="126"/>
      <c r="J573" s="402"/>
      <c r="K573" s="401"/>
    </row>
    <row r="574">
      <c r="A574" s="121"/>
      <c r="B574" s="399"/>
      <c r="D574" s="123"/>
      <c r="E574" s="123"/>
      <c r="F574" s="125"/>
      <c r="G574" s="125"/>
      <c r="I574" s="126"/>
      <c r="J574" s="402"/>
      <c r="K574" s="401"/>
    </row>
    <row r="575">
      <c r="A575" s="121"/>
      <c r="B575" s="399"/>
      <c r="D575" s="123"/>
      <c r="E575" s="123"/>
      <c r="F575" s="125"/>
      <c r="G575" s="125"/>
      <c r="I575" s="126"/>
      <c r="J575" s="402"/>
      <c r="K575" s="401"/>
    </row>
    <row r="576">
      <c r="A576" s="121"/>
      <c r="B576" s="399"/>
      <c r="D576" s="123"/>
      <c r="E576" s="123"/>
      <c r="F576" s="125"/>
      <c r="G576" s="125"/>
      <c r="I576" s="126"/>
      <c r="J576" s="402"/>
      <c r="K576" s="401"/>
    </row>
    <row r="577">
      <c r="A577" s="121"/>
      <c r="B577" s="399"/>
      <c r="D577" s="123"/>
      <c r="E577" s="123"/>
      <c r="F577" s="125"/>
      <c r="G577" s="125"/>
      <c r="I577" s="126"/>
      <c r="J577" s="402"/>
      <c r="K577" s="401"/>
    </row>
    <row r="578">
      <c r="A578" s="121"/>
      <c r="B578" s="399"/>
      <c r="D578" s="123"/>
      <c r="E578" s="123"/>
      <c r="F578" s="125"/>
      <c r="G578" s="125"/>
      <c r="I578" s="126"/>
      <c r="J578" s="402"/>
      <c r="K578" s="401"/>
    </row>
    <row r="579">
      <c r="A579" s="121"/>
      <c r="B579" s="399"/>
      <c r="D579" s="123"/>
      <c r="E579" s="123"/>
      <c r="F579" s="125"/>
      <c r="G579" s="125"/>
      <c r="I579" s="126"/>
      <c r="J579" s="402"/>
      <c r="K579" s="401"/>
    </row>
    <row r="580">
      <c r="A580" s="121"/>
      <c r="B580" s="399"/>
      <c r="D580" s="123"/>
      <c r="E580" s="123"/>
      <c r="F580" s="125"/>
      <c r="G580" s="125"/>
      <c r="I580" s="126"/>
      <c r="J580" s="402"/>
      <c r="K580" s="401"/>
    </row>
    <row r="581">
      <c r="A581" s="121"/>
      <c r="B581" s="399"/>
      <c r="D581" s="123"/>
      <c r="E581" s="123"/>
      <c r="F581" s="125"/>
      <c r="G581" s="125"/>
      <c r="I581" s="126"/>
      <c r="J581" s="402"/>
      <c r="K581" s="401"/>
    </row>
    <row r="582">
      <c r="A582" s="121"/>
      <c r="B582" s="399"/>
      <c r="D582" s="123"/>
      <c r="E582" s="123"/>
      <c r="F582" s="125"/>
      <c r="G582" s="125"/>
      <c r="I582" s="126"/>
      <c r="J582" s="402"/>
      <c r="K582" s="401"/>
    </row>
    <row r="583">
      <c r="A583" s="121"/>
      <c r="B583" s="399"/>
      <c r="D583" s="123"/>
      <c r="E583" s="123"/>
      <c r="F583" s="125"/>
      <c r="G583" s="125"/>
      <c r="I583" s="126"/>
      <c r="J583" s="402"/>
      <c r="K583" s="401"/>
    </row>
    <row r="584">
      <c r="A584" s="121"/>
      <c r="B584" s="399"/>
      <c r="D584" s="123"/>
      <c r="E584" s="123"/>
      <c r="F584" s="125"/>
      <c r="G584" s="125"/>
      <c r="I584" s="126"/>
      <c r="J584" s="402"/>
      <c r="K584" s="401"/>
    </row>
    <row r="585">
      <c r="A585" s="121"/>
      <c r="B585" s="399"/>
      <c r="D585" s="123"/>
      <c r="E585" s="123"/>
      <c r="F585" s="125"/>
      <c r="G585" s="125"/>
      <c r="I585" s="126"/>
      <c r="J585" s="402"/>
      <c r="K585" s="401"/>
    </row>
    <row r="586">
      <c r="A586" s="121"/>
      <c r="B586" s="399"/>
      <c r="D586" s="123"/>
      <c r="E586" s="123"/>
      <c r="F586" s="125"/>
      <c r="G586" s="125"/>
      <c r="I586" s="126"/>
      <c r="J586" s="402"/>
      <c r="K586" s="401"/>
    </row>
    <row r="587">
      <c r="A587" s="121"/>
      <c r="B587" s="399"/>
      <c r="D587" s="123"/>
      <c r="E587" s="123"/>
      <c r="F587" s="125"/>
      <c r="G587" s="125"/>
      <c r="I587" s="126"/>
      <c r="J587" s="402"/>
      <c r="K587" s="401"/>
    </row>
    <row r="588">
      <c r="A588" s="121"/>
      <c r="B588" s="399"/>
      <c r="D588" s="123"/>
      <c r="E588" s="123"/>
      <c r="F588" s="125"/>
      <c r="G588" s="125"/>
      <c r="I588" s="126"/>
      <c r="J588" s="402"/>
      <c r="K588" s="401"/>
    </row>
    <row r="589">
      <c r="A589" s="121"/>
      <c r="B589" s="399"/>
      <c r="D589" s="123"/>
      <c r="E589" s="123"/>
      <c r="F589" s="125"/>
      <c r="G589" s="125"/>
      <c r="I589" s="126"/>
      <c r="J589" s="402"/>
      <c r="K589" s="401"/>
    </row>
    <row r="590">
      <c r="A590" s="121"/>
      <c r="B590" s="399"/>
      <c r="D590" s="123"/>
      <c r="E590" s="123"/>
      <c r="F590" s="125"/>
      <c r="G590" s="125"/>
      <c r="I590" s="126"/>
      <c r="J590" s="402"/>
      <c r="K590" s="401"/>
    </row>
    <row r="591">
      <c r="A591" s="121"/>
      <c r="B591" s="399"/>
      <c r="D591" s="123"/>
      <c r="E591" s="123"/>
      <c r="F591" s="125"/>
      <c r="G591" s="125"/>
      <c r="I591" s="126"/>
      <c r="J591" s="402"/>
      <c r="K591" s="401"/>
    </row>
    <row r="592">
      <c r="A592" s="121"/>
      <c r="B592" s="399"/>
      <c r="D592" s="123"/>
      <c r="E592" s="123"/>
      <c r="F592" s="125"/>
      <c r="G592" s="125"/>
      <c r="I592" s="126"/>
      <c r="J592" s="402"/>
      <c r="K592" s="401"/>
    </row>
    <row r="593">
      <c r="A593" s="121"/>
      <c r="B593" s="399"/>
      <c r="D593" s="123"/>
      <c r="E593" s="123"/>
      <c r="F593" s="125"/>
      <c r="G593" s="125"/>
      <c r="I593" s="126"/>
      <c r="J593" s="402"/>
      <c r="K593" s="401"/>
    </row>
    <row r="594">
      <c r="A594" s="121"/>
      <c r="B594" s="399"/>
      <c r="D594" s="123"/>
      <c r="E594" s="123"/>
      <c r="F594" s="125"/>
      <c r="G594" s="125"/>
      <c r="I594" s="126"/>
      <c r="J594" s="402"/>
      <c r="K594" s="401"/>
    </row>
    <row r="595">
      <c r="A595" s="121"/>
      <c r="B595" s="399"/>
      <c r="D595" s="123"/>
      <c r="E595" s="123"/>
      <c r="F595" s="125"/>
      <c r="G595" s="125"/>
      <c r="I595" s="126"/>
      <c r="J595" s="402"/>
      <c r="K595" s="401"/>
    </row>
    <row r="596">
      <c r="A596" s="121"/>
      <c r="B596" s="399"/>
      <c r="D596" s="123"/>
      <c r="E596" s="123"/>
      <c r="F596" s="125"/>
      <c r="G596" s="125"/>
      <c r="I596" s="126"/>
      <c r="J596" s="402"/>
      <c r="K596" s="401"/>
    </row>
    <row r="597">
      <c r="A597" s="121"/>
      <c r="B597" s="399"/>
      <c r="D597" s="123"/>
      <c r="E597" s="123"/>
      <c r="F597" s="125"/>
      <c r="G597" s="125"/>
      <c r="I597" s="126"/>
      <c r="J597" s="402"/>
      <c r="K597" s="401"/>
    </row>
    <row r="598">
      <c r="A598" s="121"/>
      <c r="B598" s="399"/>
      <c r="D598" s="123"/>
      <c r="E598" s="123"/>
      <c r="F598" s="125"/>
      <c r="G598" s="125"/>
      <c r="I598" s="126"/>
      <c r="J598" s="402"/>
      <c r="K598" s="401"/>
    </row>
    <row r="599">
      <c r="A599" s="121"/>
      <c r="B599" s="399"/>
      <c r="D599" s="123"/>
      <c r="E599" s="123"/>
      <c r="F599" s="125"/>
      <c r="G599" s="125"/>
      <c r="I599" s="126"/>
      <c r="J599" s="402"/>
      <c r="K599" s="401"/>
    </row>
    <row r="600">
      <c r="A600" s="121"/>
      <c r="B600" s="399"/>
      <c r="D600" s="123"/>
      <c r="E600" s="123"/>
      <c r="F600" s="125"/>
      <c r="G600" s="125"/>
      <c r="I600" s="126"/>
      <c r="J600" s="402"/>
      <c r="K600" s="401"/>
    </row>
    <row r="601">
      <c r="A601" s="121"/>
      <c r="B601" s="399"/>
      <c r="D601" s="123"/>
      <c r="E601" s="123"/>
      <c r="F601" s="125"/>
      <c r="G601" s="125"/>
      <c r="I601" s="126"/>
      <c r="J601" s="402"/>
      <c r="K601" s="401"/>
    </row>
    <row r="602">
      <c r="A602" s="121"/>
      <c r="B602" s="399"/>
      <c r="D602" s="123"/>
      <c r="E602" s="123"/>
      <c r="F602" s="125"/>
      <c r="G602" s="125"/>
      <c r="I602" s="126"/>
      <c r="J602" s="402"/>
      <c r="K602" s="401"/>
    </row>
    <row r="603">
      <c r="A603" s="121"/>
      <c r="B603" s="399"/>
      <c r="D603" s="123"/>
      <c r="E603" s="123"/>
      <c r="F603" s="125"/>
      <c r="G603" s="125"/>
      <c r="I603" s="126"/>
      <c r="J603" s="402"/>
      <c r="K603" s="401"/>
    </row>
    <row r="604">
      <c r="A604" s="121"/>
      <c r="B604" s="399"/>
      <c r="D604" s="123"/>
      <c r="E604" s="123"/>
      <c r="F604" s="125"/>
      <c r="G604" s="125"/>
      <c r="I604" s="126"/>
      <c r="J604" s="402"/>
      <c r="K604" s="401"/>
    </row>
    <row r="605">
      <c r="A605" s="121"/>
      <c r="B605" s="399"/>
      <c r="D605" s="123"/>
      <c r="E605" s="123"/>
      <c r="F605" s="125"/>
      <c r="G605" s="125"/>
      <c r="I605" s="126"/>
      <c r="J605" s="402"/>
      <c r="K605" s="401"/>
    </row>
    <row r="606">
      <c r="A606" s="121"/>
      <c r="B606" s="399"/>
      <c r="D606" s="123"/>
      <c r="E606" s="123"/>
      <c r="F606" s="125"/>
      <c r="G606" s="125"/>
      <c r="I606" s="126"/>
      <c r="J606" s="402"/>
      <c r="K606" s="401"/>
    </row>
    <row r="607">
      <c r="A607" s="121"/>
      <c r="B607" s="399"/>
      <c r="D607" s="123"/>
      <c r="E607" s="123"/>
      <c r="F607" s="125"/>
      <c r="G607" s="125"/>
      <c r="I607" s="126"/>
      <c r="J607" s="402"/>
      <c r="K607" s="401"/>
    </row>
    <row r="608">
      <c r="A608" s="121"/>
      <c r="B608" s="399"/>
      <c r="D608" s="123"/>
      <c r="E608" s="123"/>
      <c r="F608" s="125"/>
      <c r="G608" s="125"/>
      <c r="I608" s="126"/>
      <c r="J608" s="402"/>
      <c r="K608" s="401"/>
    </row>
    <row r="609">
      <c r="A609" s="121"/>
      <c r="B609" s="399"/>
      <c r="D609" s="123"/>
      <c r="E609" s="123"/>
      <c r="F609" s="125"/>
      <c r="G609" s="125"/>
      <c r="I609" s="126"/>
      <c r="J609" s="402"/>
      <c r="K609" s="401"/>
    </row>
    <row r="610">
      <c r="A610" s="121"/>
      <c r="B610" s="399"/>
      <c r="D610" s="123"/>
      <c r="E610" s="123"/>
      <c r="F610" s="125"/>
      <c r="G610" s="125"/>
      <c r="I610" s="126"/>
      <c r="J610" s="402"/>
      <c r="K610" s="401"/>
    </row>
    <row r="611">
      <c r="A611" s="121"/>
      <c r="B611" s="399"/>
      <c r="D611" s="123"/>
      <c r="E611" s="123"/>
      <c r="F611" s="125"/>
      <c r="G611" s="125"/>
      <c r="I611" s="126"/>
      <c r="J611" s="402"/>
      <c r="K611" s="401"/>
    </row>
    <row r="612">
      <c r="A612" s="121"/>
      <c r="B612" s="399"/>
      <c r="D612" s="123"/>
      <c r="E612" s="123"/>
      <c r="F612" s="125"/>
      <c r="G612" s="125"/>
      <c r="I612" s="126"/>
      <c r="J612" s="402"/>
      <c r="K612" s="401"/>
    </row>
    <row r="613">
      <c r="A613" s="121"/>
      <c r="B613" s="399"/>
      <c r="D613" s="123"/>
      <c r="E613" s="123"/>
      <c r="F613" s="125"/>
      <c r="G613" s="125"/>
      <c r="I613" s="126"/>
      <c r="J613" s="402"/>
      <c r="K613" s="401"/>
    </row>
    <row r="614">
      <c r="A614" s="121"/>
      <c r="B614" s="399"/>
      <c r="D614" s="123"/>
      <c r="E614" s="123"/>
      <c r="F614" s="125"/>
      <c r="G614" s="125"/>
      <c r="I614" s="126"/>
      <c r="J614" s="402"/>
      <c r="K614" s="401"/>
    </row>
    <row r="615">
      <c r="A615" s="121"/>
      <c r="B615" s="399"/>
      <c r="D615" s="123"/>
      <c r="E615" s="123"/>
      <c r="F615" s="125"/>
      <c r="G615" s="125"/>
      <c r="I615" s="126"/>
      <c r="J615" s="402"/>
      <c r="K615" s="401"/>
    </row>
    <row r="616">
      <c r="A616" s="121"/>
      <c r="B616" s="399"/>
      <c r="D616" s="123"/>
      <c r="E616" s="123"/>
      <c r="F616" s="125"/>
      <c r="G616" s="125"/>
      <c r="I616" s="126"/>
      <c r="J616" s="402"/>
      <c r="K616" s="401"/>
    </row>
    <row r="617">
      <c r="A617" s="121"/>
      <c r="B617" s="399"/>
      <c r="D617" s="123"/>
      <c r="E617" s="123"/>
      <c r="F617" s="125"/>
      <c r="G617" s="125"/>
      <c r="I617" s="126"/>
      <c r="J617" s="402"/>
      <c r="K617" s="401"/>
    </row>
    <row r="618">
      <c r="A618" s="121"/>
      <c r="B618" s="399"/>
      <c r="D618" s="123"/>
      <c r="E618" s="123"/>
      <c r="F618" s="125"/>
      <c r="G618" s="125"/>
      <c r="I618" s="126"/>
      <c r="J618" s="402"/>
      <c r="K618" s="401"/>
    </row>
    <row r="619">
      <c r="A619" s="121"/>
      <c r="B619" s="399"/>
      <c r="D619" s="123"/>
      <c r="E619" s="123"/>
      <c r="F619" s="125"/>
      <c r="G619" s="125"/>
      <c r="I619" s="126"/>
      <c r="J619" s="402"/>
      <c r="K619" s="401"/>
    </row>
    <row r="620">
      <c r="A620" s="121"/>
      <c r="B620" s="399"/>
      <c r="D620" s="123"/>
      <c r="E620" s="123"/>
      <c r="F620" s="125"/>
      <c r="G620" s="125"/>
      <c r="I620" s="126"/>
      <c r="J620" s="402"/>
      <c r="K620" s="401"/>
    </row>
    <row r="621">
      <c r="A621" s="121"/>
      <c r="B621" s="399"/>
      <c r="D621" s="123"/>
      <c r="E621" s="123"/>
      <c r="F621" s="125"/>
      <c r="G621" s="125"/>
      <c r="I621" s="126"/>
      <c r="J621" s="402"/>
      <c r="K621" s="401"/>
    </row>
    <row r="622">
      <c r="A622" s="121"/>
      <c r="B622" s="399"/>
      <c r="D622" s="123"/>
      <c r="E622" s="123"/>
      <c r="F622" s="125"/>
      <c r="G622" s="125"/>
      <c r="I622" s="126"/>
      <c r="J622" s="402"/>
      <c r="K622" s="401"/>
    </row>
    <row r="623">
      <c r="A623" s="121"/>
      <c r="B623" s="399"/>
      <c r="D623" s="123"/>
      <c r="E623" s="123"/>
      <c r="F623" s="125"/>
      <c r="G623" s="125"/>
      <c r="I623" s="126"/>
      <c r="J623" s="402"/>
      <c r="K623" s="401"/>
    </row>
    <row r="624">
      <c r="A624" s="121"/>
      <c r="B624" s="399"/>
      <c r="D624" s="123"/>
      <c r="E624" s="123"/>
      <c r="F624" s="125"/>
      <c r="G624" s="125"/>
      <c r="I624" s="126"/>
      <c r="J624" s="402"/>
      <c r="K624" s="401"/>
    </row>
    <row r="625">
      <c r="A625" s="121"/>
      <c r="B625" s="399"/>
      <c r="D625" s="123"/>
      <c r="E625" s="123"/>
      <c r="F625" s="125"/>
      <c r="G625" s="125"/>
      <c r="I625" s="126"/>
      <c r="J625" s="402"/>
      <c r="K625" s="401"/>
    </row>
    <row r="626">
      <c r="A626" s="121"/>
      <c r="B626" s="399"/>
      <c r="D626" s="123"/>
      <c r="E626" s="123"/>
      <c r="F626" s="125"/>
      <c r="G626" s="125"/>
      <c r="I626" s="126"/>
      <c r="J626" s="402"/>
      <c r="K626" s="401"/>
    </row>
    <row r="627">
      <c r="A627" s="121"/>
      <c r="B627" s="399"/>
      <c r="D627" s="123"/>
      <c r="E627" s="123"/>
      <c r="F627" s="125"/>
      <c r="G627" s="125"/>
      <c r="I627" s="126"/>
      <c r="J627" s="402"/>
      <c r="K627" s="401"/>
    </row>
    <row r="628">
      <c r="A628" s="121"/>
      <c r="B628" s="399"/>
      <c r="D628" s="123"/>
      <c r="E628" s="123"/>
      <c r="F628" s="125"/>
      <c r="G628" s="125"/>
      <c r="I628" s="126"/>
      <c r="J628" s="402"/>
      <c r="K628" s="401"/>
    </row>
    <row r="629">
      <c r="A629" s="121"/>
      <c r="B629" s="399"/>
      <c r="D629" s="123"/>
      <c r="E629" s="123"/>
      <c r="F629" s="125"/>
      <c r="G629" s="125"/>
      <c r="I629" s="126"/>
      <c r="J629" s="402"/>
      <c r="K629" s="401"/>
    </row>
    <row r="630">
      <c r="A630" s="121"/>
      <c r="B630" s="399"/>
      <c r="D630" s="123"/>
      <c r="E630" s="123"/>
      <c r="F630" s="125"/>
      <c r="G630" s="125"/>
      <c r="I630" s="126"/>
      <c r="J630" s="402"/>
      <c r="K630" s="401"/>
    </row>
    <row r="631">
      <c r="A631" s="121"/>
      <c r="B631" s="399"/>
      <c r="D631" s="123"/>
      <c r="E631" s="123"/>
      <c r="F631" s="125"/>
      <c r="G631" s="125"/>
      <c r="I631" s="126"/>
      <c r="J631" s="402"/>
      <c r="K631" s="401"/>
    </row>
    <row r="632">
      <c r="A632" s="121"/>
      <c r="B632" s="399"/>
      <c r="D632" s="123"/>
      <c r="E632" s="123"/>
      <c r="F632" s="125"/>
      <c r="G632" s="125"/>
      <c r="I632" s="126"/>
      <c r="J632" s="402"/>
      <c r="K632" s="401"/>
    </row>
    <row r="633">
      <c r="A633" s="121"/>
      <c r="B633" s="399"/>
      <c r="D633" s="123"/>
      <c r="E633" s="123"/>
      <c r="F633" s="125"/>
      <c r="G633" s="125"/>
      <c r="I633" s="126"/>
      <c r="J633" s="402"/>
      <c r="K633" s="401"/>
    </row>
    <row r="634">
      <c r="A634" s="121"/>
      <c r="B634" s="399"/>
      <c r="D634" s="123"/>
      <c r="E634" s="123"/>
      <c r="F634" s="125"/>
      <c r="G634" s="125"/>
      <c r="I634" s="126"/>
      <c r="J634" s="402"/>
      <c r="K634" s="401"/>
    </row>
    <row r="635">
      <c r="A635" s="121"/>
      <c r="B635" s="399"/>
      <c r="D635" s="123"/>
      <c r="E635" s="123"/>
      <c r="F635" s="125"/>
      <c r="G635" s="125"/>
      <c r="I635" s="126"/>
      <c r="J635" s="402"/>
      <c r="K635" s="401"/>
    </row>
    <row r="636">
      <c r="A636" s="121"/>
      <c r="B636" s="399"/>
      <c r="D636" s="123"/>
      <c r="E636" s="123"/>
      <c r="F636" s="125"/>
      <c r="G636" s="125"/>
      <c r="I636" s="126"/>
      <c r="J636" s="402"/>
      <c r="K636" s="401"/>
    </row>
    <row r="637">
      <c r="A637" s="121"/>
      <c r="B637" s="399"/>
      <c r="D637" s="123"/>
      <c r="E637" s="123"/>
      <c r="F637" s="125"/>
      <c r="G637" s="125"/>
      <c r="I637" s="126"/>
      <c r="J637" s="402"/>
      <c r="K637" s="401"/>
    </row>
    <row r="638">
      <c r="A638" s="121"/>
      <c r="B638" s="399"/>
      <c r="D638" s="123"/>
      <c r="E638" s="123"/>
      <c r="F638" s="125"/>
      <c r="G638" s="125"/>
      <c r="I638" s="126"/>
      <c r="J638" s="402"/>
      <c r="K638" s="401"/>
    </row>
    <row r="639">
      <c r="A639" s="121"/>
      <c r="B639" s="399"/>
      <c r="D639" s="123"/>
      <c r="E639" s="123"/>
      <c r="F639" s="125"/>
      <c r="G639" s="125"/>
      <c r="I639" s="126"/>
      <c r="J639" s="402"/>
      <c r="K639" s="401"/>
    </row>
    <row r="640">
      <c r="A640" s="121"/>
      <c r="B640" s="399"/>
      <c r="D640" s="123"/>
      <c r="E640" s="123"/>
      <c r="F640" s="125"/>
      <c r="G640" s="125"/>
      <c r="I640" s="126"/>
      <c r="J640" s="402"/>
      <c r="K640" s="401"/>
    </row>
    <row r="641">
      <c r="A641" s="121"/>
      <c r="B641" s="399"/>
      <c r="D641" s="123"/>
      <c r="E641" s="123"/>
      <c r="F641" s="125"/>
      <c r="G641" s="125"/>
      <c r="I641" s="126"/>
      <c r="J641" s="402"/>
      <c r="K641" s="401"/>
    </row>
    <row r="642">
      <c r="A642" s="121"/>
      <c r="B642" s="399"/>
      <c r="D642" s="123"/>
      <c r="E642" s="123"/>
      <c r="F642" s="125"/>
      <c r="G642" s="125"/>
      <c r="I642" s="126"/>
      <c r="J642" s="402"/>
      <c r="K642" s="401"/>
    </row>
    <row r="643">
      <c r="A643" s="121"/>
      <c r="B643" s="399"/>
      <c r="D643" s="123"/>
      <c r="E643" s="123"/>
      <c r="F643" s="125"/>
      <c r="G643" s="125"/>
      <c r="I643" s="126"/>
      <c r="J643" s="402"/>
      <c r="K643" s="401"/>
    </row>
    <row r="644">
      <c r="A644" s="121"/>
      <c r="B644" s="399"/>
      <c r="D644" s="123"/>
      <c r="E644" s="123"/>
      <c r="F644" s="125"/>
      <c r="G644" s="125"/>
      <c r="I644" s="126"/>
      <c r="J644" s="402"/>
      <c r="K644" s="401"/>
    </row>
    <row r="645">
      <c r="A645" s="121"/>
      <c r="B645" s="399"/>
      <c r="D645" s="123"/>
      <c r="E645" s="123"/>
      <c r="F645" s="125"/>
      <c r="G645" s="125"/>
      <c r="I645" s="126"/>
      <c r="J645" s="402"/>
      <c r="K645" s="401"/>
    </row>
    <row r="646">
      <c r="A646" s="121"/>
      <c r="B646" s="399"/>
      <c r="D646" s="123"/>
      <c r="E646" s="123"/>
      <c r="F646" s="125"/>
      <c r="G646" s="125"/>
      <c r="I646" s="126"/>
      <c r="J646" s="402"/>
      <c r="K646" s="401"/>
    </row>
    <row r="647">
      <c r="A647" s="121"/>
      <c r="B647" s="399"/>
      <c r="D647" s="123"/>
      <c r="E647" s="123"/>
      <c r="F647" s="125"/>
      <c r="G647" s="125"/>
      <c r="I647" s="126"/>
      <c r="J647" s="402"/>
      <c r="K647" s="401"/>
    </row>
    <row r="648">
      <c r="A648" s="121"/>
      <c r="B648" s="399"/>
      <c r="D648" s="123"/>
      <c r="E648" s="123"/>
      <c r="F648" s="125"/>
      <c r="G648" s="125"/>
      <c r="I648" s="126"/>
      <c r="J648" s="402"/>
      <c r="K648" s="401"/>
    </row>
    <row r="649">
      <c r="A649" s="121"/>
      <c r="B649" s="399"/>
      <c r="D649" s="123"/>
      <c r="E649" s="123"/>
      <c r="F649" s="125"/>
      <c r="G649" s="125"/>
      <c r="I649" s="126"/>
      <c r="J649" s="402"/>
      <c r="K649" s="401"/>
    </row>
    <row r="650">
      <c r="A650" s="121"/>
      <c r="B650" s="399"/>
      <c r="D650" s="123"/>
      <c r="E650" s="123"/>
      <c r="F650" s="125"/>
      <c r="G650" s="125"/>
      <c r="I650" s="126"/>
      <c r="J650" s="402"/>
      <c r="K650" s="401"/>
    </row>
    <row r="651">
      <c r="A651" s="121"/>
      <c r="B651" s="399"/>
      <c r="D651" s="123"/>
      <c r="E651" s="123"/>
      <c r="F651" s="125"/>
      <c r="G651" s="125"/>
      <c r="I651" s="126"/>
      <c r="J651" s="402"/>
      <c r="K651" s="401"/>
    </row>
    <row r="652">
      <c r="A652" s="121"/>
      <c r="B652" s="399"/>
      <c r="D652" s="123"/>
      <c r="E652" s="123"/>
      <c r="F652" s="125"/>
      <c r="G652" s="125"/>
      <c r="I652" s="126"/>
      <c r="J652" s="402"/>
      <c r="K652" s="401"/>
    </row>
    <row r="653">
      <c r="A653" s="121"/>
      <c r="B653" s="399"/>
      <c r="D653" s="123"/>
      <c r="E653" s="123"/>
      <c r="F653" s="125"/>
      <c r="G653" s="125"/>
      <c r="I653" s="126"/>
      <c r="J653" s="402"/>
      <c r="K653" s="401"/>
    </row>
    <row r="654">
      <c r="A654" s="121"/>
      <c r="B654" s="399"/>
      <c r="D654" s="123"/>
      <c r="E654" s="123"/>
      <c r="F654" s="125"/>
      <c r="G654" s="125"/>
      <c r="I654" s="126"/>
      <c r="J654" s="402"/>
      <c r="K654" s="401"/>
    </row>
    <row r="655">
      <c r="A655" s="121"/>
      <c r="B655" s="399"/>
      <c r="D655" s="123"/>
      <c r="E655" s="123"/>
      <c r="F655" s="125"/>
      <c r="G655" s="125"/>
      <c r="I655" s="126"/>
      <c r="J655" s="402"/>
      <c r="K655" s="401"/>
    </row>
    <row r="656">
      <c r="A656" s="121"/>
      <c r="B656" s="399"/>
      <c r="D656" s="123"/>
      <c r="E656" s="123"/>
      <c r="F656" s="125"/>
      <c r="G656" s="125"/>
      <c r="I656" s="126"/>
      <c r="J656" s="402"/>
      <c r="K656" s="401"/>
    </row>
    <row r="657">
      <c r="A657" s="121"/>
      <c r="B657" s="399"/>
      <c r="D657" s="123"/>
      <c r="E657" s="123"/>
      <c r="F657" s="125"/>
      <c r="G657" s="125"/>
      <c r="I657" s="126"/>
      <c r="J657" s="402"/>
      <c r="K657" s="401"/>
    </row>
    <row r="658">
      <c r="A658" s="121"/>
      <c r="B658" s="399"/>
      <c r="D658" s="123"/>
      <c r="E658" s="123"/>
      <c r="F658" s="125"/>
      <c r="G658" s="125"/>
      <c r="I658" s="126"/>
      <c r="J658" s="402"/>
      <c r="K658" s="401"/>
    </row>
    <row r="659">
      <c r="A659" s="121"/>
      <c r="B659" s="399"/>
      <c r="D659" s="123"/>
      <c r="E659" s="123"/>
      <c r="F659" s="125"/>
      <c r="G659" s="125"/>
      <c r="I659" s="126"/>
      <c r="J659" s="402"/>
      <c r="K659" s="401"/>
    </row>
    <row r="660">
      <c r="A660" s="121"/>
      <c r="B660" s="399"/>
      <c r="D660" s="123"/>
      <c r="E660" s="123"/>
      <c r="F660" s="125"/>
      <c r="G660" s="125"/>
      <c r="I660" s="126"/>
      <c r="J660" s="402"/>
      <c r="K660" s="401"/>
    </row>
    <row r="661">
      <c r="A661" s="121"/>
      <c r="B661" s="399"/>
      <c r="D661" s="123"/>
      <c r="E661" s="123"/>
      <c r="F661" s="125"/>
      <c r="G661" s="125"/>
      <c r="I661" s="126"/>
      <c r="J661" s="402"/>
      <c r="K661" s="401"/>
    </row>
    <row r="662">
      <c r="A662" s="121"/>
      <c r="B662" s="399"/>
      <c r="D662" s="123"/>
      <c r="E662" s="123"/>
      <c r="F662" s="125"/>
      <c r="G662" s="125"/>
      <c r="I662" s="126"/>
      <c r="J662" s="402"/>
      <c r="K662" s="401"/>
    </row>
    <row r="663">
      <c r="A663" s="121"/>
      <c r="B663" s="399"/>
      <c r="D663" s="123"/>
      <c r="E663" s="123"/>
      <c r="F663" s="125"/>
      <c r="G663" s="125"/>
      <c r="I663" s="126"/>
      <c r="J663" s="402"/>
      <c r="K663" s="401"/>
    </row>
    <row r="664">
      <c r="A664" s="121"/>
      <c r="B664" s="399"/>
      <c r="D664" s="123"/>
      <c r="E664" s="123"/>
      <c r="F664" s="125"/>
      <c r="G664" s="125"/>
      <c r="I664" s="126"/>
      <c r="J664" s="402"/>
      <c r="K664" s="401"/>
    </row>
    <row r="665">
      <c r="A665" s="121"/>
      <c r="B665" s="399"/>
      <c r="D665" s="123"/>
      <c r="E665" s="123"/>
      <c r="F665" s="125"/>
      <c r="G665" s="125"/>
      <c r="I665" s="126"/>
      <c r="J665" s="402"/>
      <c r="K665" s="401"/>
    </row>
    <row r="666">
      <c r="A666" s="121"/>
      <c r="B666" s="399"/>
      <c r="D666" s="123"/>
      <c r="E666" s="123"/>
      <c r="F666" s="125"/>
      <c r="G666" s="125"/>
      <c r="I666" s="126"/>
      <c r="J666" s="402"/>
      <c r="K666" s="401"/>
    </row>
    <row r="667">
      <c r="A667" s="121"/>
      <c r="B667" s="399"/>
      <c r="D667" s="123"/>
      <c r="E667" s="123"/>
      <c r="F667" s="125"/>
      <c r="G667" s="125"/>
      <c r="I667" s="126"/>
      <c r="J667" s="402"/>
      <c r="K667" s="401"/>
    </row>
    <row r="668">
      <c r="A668" s="121"/>
      <c r="B668" s="399"/>
      <c r="D668" s="123"/>
      <c r="E668" s="123"/>
      <c r="F668" s="125"/>
      <c r="G668" s="125"/>
      <c r="I668" s="126"/>
      <c r="J668" s="402"/>
      <c r="K668" s="401"/>
    </row>
    <row r="669">
      <c r="A669" s="121"/>
      <c r="B669" s="399"/>
      <c r="D669" s="123"/>
      <c r="E669" s="123"/>
      <c r="F669" s="125"/>
      <c r="G669" s="125"/>
      <c r="I669" s="126"/>
      <c r="J669" s="402"/>
      <c r="K669" s="401"/>
    </row>
    <row r="670">
      <c r="A670" s="121"/>
      <c r="B670" s="399"/>
      <c r="D670" s="123"/>
      <c r="E670" s="123"/>
      <c r="F670" s="125"/>
      <c r="G670" s="125"/>
      <c r="I670" s="126"/>
      <c r="J670" s="402"/>
      <c r="K670" s="401"/>
    </row>
    <row r="671">
      <c r="A671" s="121"/>
      <c r="B671" s="399"/>
      <c r="D671" s="123"/>
      <c r="E671" s="123"/>
      <c r="F671" s="125"/>
      <c r="G671" s="125"/>
      <c r="I671" s="126"/>
      <c r="J671" s="402"/>
      <c r="K671" s="401"/>
    </row>
    <row r="672">
      <c r="A672" s="121"/>
      <c r="B672" s="399"/>
      <c r="D672" s="123"/>
      <c r="E672" s="123"/>
      <c r="F672" s="125"/>
      <c r="G672" s="125"/>
      <c r="I672" s="126"/>
      <c r="J672" s="402"/>
      <c r="K672" s="401"/>
    </row>
    <row r="673">
      <c r="A673" s="121"/>
      <c r="B673" s="399"/>
      <c r="D673" s="123"/>
      <c r="E673" s="123"/>
      <c r="F673" s="125"/>
      <c r="G673" s="125"/>
      <c r="I673" s="126"/>
      <c r="J673" s="402"/>
      <c r="K673" s="401"/>
    </row>
    <row r="674">
      <c r="A674" s="121"/>
      <c r="B674" s="399"/>
      <c r="D674" s="123"/>
      <c r="E674" s="123"/>
      <c r="F674" s="125"/>
      <c r="G674" s="125"/>
      <c r="I674" s="126"/>
      <c r="J674" s="402"/>
      <c r="K674" s="401"/>
    </row>
    <row r="675">
      <c r="A675" s="121"/>
      <c r="B675" s="399"/>
      <c r="D675" s="123"/>
      <c r="E675" s="123"/>
      <c r="F675" s="125"/>
      <c r="G675" s="125"/>
      <c r="I675" s="126"/>
      <c r="J675" s="402"/>
      <c r="K675" s="401"/>
    </row>
    <row r="676">
      <c r="A676" s="121"/>
      <c r="B676" s="399"/>
      <c r="D676" s="123"/>
      <c r="E676" s="123"/>
      <c r="F676" s="125"/>
      <c r="G676" s="125"/>
      <c r="I676" s="126"/>
      <c r="J676" s="402"/>
      <c r="K676" s="401"/>
    </row>
    <row r="677">
      <c r="A677" s="121"/>
      <c r="B677" s="399"/>
      <c r="D677" s="123"/>
      <c r="E677" s="123"/>
      <c r="F677" s="125"/>
      <c r="G677" s="125"/>
      <c r="I677" s="126"/>
      <c r="J677" s="402"/>
      <c r="K677" s="401"/>
    </row>
    <row r="678">
      <c r="A678" s="121"/>
      <c r="B678" s="399"/>
      <c r="D678" s="123"/>
      <c r="E678" s="123"/>
      <c r="F678" s="125"/>
      <c r="G678" s="125"/>
      <c r="I678" s="126"/>
      <c r="J678" s="402"/>
      <c r="K678" s="401"/>
    </row>
    <row r="679">
      <c r="A679" s="121"/>
      <c r="B679" s="399"/>
      <c r="D679" s="123"/>
      <c r="E679" s="123"/>
      <c r="F679" s="125"/>
      <c r="G679" s="125"/>
      <c r="I679" s="126"/>
      <c r="J679" s="402"/>
      <c r="K679" s="401"/>
    </row>
    <row r="680">
      <c r="A680" s="121"/>
      <c r="B680" s="399"/>
      <c r="D680" s="123"/>
      <c r="E680" s="123"/>
      <c r="F680" s="125"/>
      <c r="G680" s="125"/>
      <c r="I680" s="126"/>
      <c r="J680" s="402"/>
      <c r="K680" s="401"/>
    </row>
    <row r="681">
      <c r="A681" s="121"/>
      <c r="B681" s="399"/>
      <c r="D681" s="123"/>
      <c r="E681" s="123"/>
      <c r="F681" s="125"/>
      <c r="G681" s="125"/>
      <c r="I681" s="126"/>
      <c r="J681" s="402"/>
      <c r="K681" s="401"/>
    </row>
    <row r="682">
      <c r="A682" s="121"/>
      <c r="B682" s="399"/>
      <c r="D682" s="123"/>
      <c r="E682" s="123"/>
      <c r="F682" s="125"/>
      <c r="G682" s="125"/>
      <c r="I682" s="126"/>
      <c r="J682" s="402"/>
      <c r="K682" s="401"/>
    </row>
    <row r="683">
      <c r="A683" s="121"/>
      <c r="B683" s="399"/>
      <c r="D683" s="123"/>
      <c r="E683" s="123"/>
      <c r="F683" s="125"/>
      <c r="G683" s="125"/>
      <c r="I683" s="126"/>
      <c r="J683" s="402"/>
      <c r="K683" s="401"/>
    </row>
    <row r="684">
      <c r="A684" s="121"/>
      <c r="B684" s="399"/>
      <c r="D684" s="123"/>
      <c r="E684" s="123"/>
      <c r="F684" s="125"/>
      <c r="G684" s="125"/>
      <c r="I684" s="126"/>
      <c r="J684" s="402"/>
      <c r="K684" s="401"/>
    </row>
    <row r="685">
      <c r="A685" s="121"/>
      <c r="B685" s="399"/>
      <c r="D685" s="123"/>
      <c r="E685" s="123"/>
      <c r="F685" s="125"/>
      <c r="G685" s="125"/>
      <c r="I685" s="126"/>
      <c r="J685" s="402"/>
      <c r="K685" s="401"/>
    </row>
    <row r="686">
      <c r="A686" s="121"/>
      <c r="B686" s="399"/>
      <c r="D686" s="123"/>
      <c r="E686" s="123"/>
      <c r="F686" s="125"/>
      <c r="G686" s="125"/>
      <c r="I686" s="126"/>
      <c r="J686" s="402"/>
      <c r="K686" s="401"/>
    </row>
    <row r="687">
      <c r="A687" s="121"/>
      <c r="B687" s="399"/>
      <c r="D687" s="123"/>
      <c r="E687" s="123"/>
      <c r="F687" s="125"/>
      <c r="G687" s="125"/>
      <c r="I687" s="126"/>
      <c r="J687" s="402"/>
      <c r="K687" s="401"/>
    </row>
    <row r="688">
      <c r="A688" s="121"/>
      <c r="B688" s="399"/>
      <c r="D688" s="123"/>
      <c r="E688" s="123"/>
      <c r="F688" s="125"/>
      <c r="G688" s="125"/>
      <c r="I688" s="126"/>
      <c r="J688" s="402"/>
      <c r="K688" s="401"/>
    </row>
    <row r="689">
      <c r="A689" s="121"/>
      <c r="B689" s="399"/>
      <c r="D689" s="123"/>
      <c r="E689" s="123"/>
      <c r="F689" s="125"/>
      <c r="G689" s="125"/>
      <c r="I689" s="126"/>
      <c r="J689" s="402"/>
      <c r="K689" s="401"/>
    </row>
    <row r="690">
      <c r="A690" s="121"/>
      <c r="B690" s="399"/>
      <c r="D690" s="123"/>
      <c r="E690" s="123"/>
      <c r="F690" s="125"/>
      <c r="G690" s="125"/>
      <c r="I690" s="126"/>
      <c r="J690" s="402"/>
      <c r="K690" s="401"/>
    </row>
    <row r="691">
      <c r="A691" s="121"/>
      <c r="B691" s="399"/>
      <c r="D691" s="123"/>
      <c r="E691" s="123"/>
      <c r="F691" s="125"/>
      <c r="G691" s="125"/>
      <c r="I691" s="126"/>
      <c r="J691" s="402"/>
      <c r="K691" s="401"/>
    </row>
    <row r="692">
      <c r="A692" s="121"/>
      <c r="B692" s="399"/>
      <c r="D692" s="123"/>
      <c r="E692" s="123"/>
      <c r="F692" s="125"/>
      <c r="G692" s="125"/>
      <c r="I692" s="126"/>
      <c r="J692" s="402"/>
      <c r="K692" s="401"/>
    </row>
    <row r="693">
      <c r="A693" s="121"/>
      <c r="B693" s="399"/>
      <c r="D693" s="123"/>
      <c r="E693" s="123"/>
      <c r="F693" s="125"/>
      <c r="G693" s="125"/>
      <c r="I693" s="126"/>
      <c r="J693" s="402"/>
      <c r="K693" s="401"/>
    </row>
    <row r="694">
      <c r="A694" s="121"/>
      <c r="B694" s="399"/>
      <c r="D694" s="123"/>
      <c r="E694" s="123"/>
      <c r="F694" s="125"/>
      <c r="G694" s="125"/>
      <c r="I694" s="126"/>
      <c r="J694" s="402"/>
      <c r="K694" s="401"/>
    </row>
    <row r="695">
      <c r="A695" s="121"/>
      <c r="B695" s="399"/>
      <c r="D695" s="123"/>
      <c r="E695" s="123"/>
      <c r="F695" s="125"/>
      <c r="G695" s="125"/>
      <c r="I695" s="126"/>
      <c r="J695" s="402"/>
      <c r="K695" s="401"/>
    </row>
    <row r="696">
      <c r="A696" s="121"/>
      <c r="B696" s="399"/>
      <c r="D696" s="123"/>
      <c r="E696" s="123"/>
      <c r="F696" s="125"/>
      <c r="G696" s="125"/>
      <c r="I696" s="126"/>
      <c r="J696" s="402"/>
      <c r="K696" s="401"/>
    </row>
    <row r="697">
      <c r="A697" s="121"/>
      <c r="B697" s="399"/>
      <c r="D697" s="123"/>
      <c r="E697" s="123"/>
      <c r="F697" s="125"/>
      <c r="G697" s="125"/>
      <c r="I697" s="126"/>
      <c r="J697" s="402"/>
      <c r="K697" s="401"/>
    </row>
    <row r="698">
      <c r="A698" s="121"/>
      <c r="B698" s="399"/>
      <c r="D698" s="123"/>
      <c r="E698" s="123"/>
      <c r="F698" s="125"/>
      <c r="G698" s="125"/>
      <c r="I698" s="126"/>
      <c r="J698" s="402"/>
      <c r="K698" s="401"/>
    </row>
    <row r="699">
      <c r="A699" s="121"/>
      <c r="B699" s="399"/>
      <c r="D699" s="123"/>
      <c r="E699" s="123"/>
      <c r="F699" s="125"/>
      <c r="G699" s="125"/>
      <c r="I699" s="126"/>
      <c r="J699" s="402"/>
      <c r="K699" s="401"/>
    </row>
    <row r="700">
      <c r="A700" s="121"/>
      <c r="B700" s="399"/>
      <c r="D700" s="123"/>
      <c r="E700" s="123"/>
      <c r="F700" s="125"/>
      <c r="G700" s="125"/>
      <c r="I700" s="126"/>
      <c r="J700" s="402"/>
      <c r="K700" s="401"/>
    </row>
    <row r="701">
      <c r="A701" s="121"/>
      <c r="B701" s="399"/>
      <c r="D701" s="123"/>
      <c r="E701" s="123"/>
      <c r="F701" s="125"/>
      <c r="G701" s="125"/>
      <c r="I701" s="126"/>
      <c r="J701" s="402"/>
      <c r="K701" s="401"/>
    </row>
    <row r="702">
      <c r="A702" s="121"/>
      <c r="B702" s="399"/>
      <c r="D702" s="123"/>
      <c r="E702" s="123"/>
      <c r="F702" s="125"/>
      <c r="G702" s="125"/>
      <c r="I702" s="126"/>
      <c r="J702" s="402"/>
      <c r="K702" s="401"/>
    </row>
    <row r="703">
      <c r="A703" s="121"/>
      <c r="B703" s="399"/>
      <c r="D703" s="123"/>
      <c r="E703" s="123"/>
      <c r="F703" s="125"/>
      <c r="G703" s="125"/>
      <c r="I703" s="126"/>
      <c r="J703" s="402"/>
      <c r="K703" s="401"/>
    </row>
    <row r="704">
      <c r="A704" s="121"/>
      <c r="B704" s="399"/>
      <c r="D704" s="123"/>
      <c r="E704" s="123"/>
      <c r="F704" s="125"/>
      <c r="G704" s="125"/>
      <c r="I704" s="126"/>
      <c r="J704" s="402"/>
      <c r="K704" s="401"/>
    </row>
    <row r="705">
      <c r="A705" s="121"/>
      <c r="B705" s="399"/>
      <c r="D705" s="123"/>
      <c r="E705" s="123"/>
      <c r="F705" s="125"/>
      <c r="G705" s="125"/>
      <c r="I705" s="126"/>
      <c r="J705" s="402"/>
      <c r="K705" s="401"/>
    </row>
    <row r="706">
      <c r="A706" s="121"/>
      <c r="B706" s="399"/>
      <c r="D706" s="123"/>
      <c r="E706" s="123"/>
      <c r="F706" s="125"/>
      <c r="G706" s="125"/>
      <c r="I706" s="126"/>
      <c r="J706" s="402"/>
      <c r="K706" s="401"/>
    </row>
    <row r="707">
      <c r="A707" s="121"/>
      <c r="B707" s="399"/>
      <c r="D707" s="123"/>
      <c r="E707" s="123"/>
      <c r="F707" s="125"/>
      <c r="G707" s="125"/>
      <c r="I707" s="126"/>
      <c r="J707" s="402"/>
      <c r="K707" s="401"/>
    </row>
    <row r="708">
      <c r="A708" s="121"/>
      <c r="B708" s="399"/>
      <c r="D708" s="123"/>
      <c r="E708" s="123"/>
      <c r="F708" s="125"/>
      <c r="G708" s="125"/>
      <c r="I708" s="126"/>
      <c r="J708" s="402"/>
      <c r="K708" s="401"/>
    </row>
    <row r="709">
      <c r="A709" s="121"/>
      <c r="B709" s="399"/>
      <c r="D709" s="123"/>
      <c r="E709" s="123"/>
      <c r="F709" s="125"/>
      <c r="G709" s="125"/>
      <c r="I709" s="126"/>
      <c r="J709" s="402"/>
      <c r="K709" s="401"/>
    </row>
    <row r="710">
      <c r="A710" s="121"/>
      <c r="B710" s="399"/>
      <c r="D710" s="123"/>
      <c r="E710" s="123"/>
      <c r="F710" s="125"/>
      <c r="G710" s="125"/>
      <c r="I710" s="126"/>
      <c r="J710" s="402"/>
      <c r="K710" s="401"/>
    </row>
    <row r="711">
      <c r="A711" s="121"/>
      <c r="B711" s="399"/>
      <c r="D711" s="123"/>
      <c r="E711" s="123"/>
      <c r="F711" s="125"/>
      <c r="G711" s="125"/>
      <c r="I711" s="126"/>
      <c r="J711" s="402"/>
      <c r="K711" s="401"/>
    </row>
    <row r="712">
      <c r="A712" s="121"/>
      <c r="B712" s="399"/>
      <c r="D712" s="123"/>
      <c r="E712" s="123"/>
      <c r="F712" s="125"/>
      <c r="G712" s="125"/>
      <c r="I712" s="126"/>
      <c r="J712" s="402"/>
      <c r="K712" s="401"/>
    </row>
    <row r="713">
      <c r="A713" s="121"/>
      <c r="B713" s="399"/>
      <c r="D713" s="123"/>
      <c r="E713" s="123"/>
      <c r="F713" s="125"/>
      <c r="G713" s="125"/>
      <c r="I713" s="126"/>
      <c r="J713" s="402"/>
      <c r="K713" s="401"/>
    </row>
    <row r="714">
      <c r="A714" s="121"/>
      <c r="B714" s="399"/>
      <c r="D714" s="123"/>
      <c r="E714" s="123"/>
      <c r="F714" s="125"/>
      <c r="G714" s="125"/>
      <c r="I714" s="126"/>
      <c r="J714" s="402"/>
      <c r="K714" s="401"/>
    </row>
    <row r="715">
      <c r="A715" s="121"/>
      <c r="B715" s="399"/>
      <c r="D715" s="123"/>
      <c r="E715" s="123"/>
      <c r="F715" s="125"/>
      <c r="G715" s="125"/>
      <c r="I715" s="126"/>
      <c r="J715" s="402"/>
      <c r="K715" s="401"/>
    </row>
    <row r="716">
      <c r="A716" s="121"/>
      <c r="B716" s="399"/>
      <c r="D716" s="123"/>
      <c r="E716" s="123"/>
      <c r="F716" s="125"/>
      <c r="G716" s="125"/>
      <c r="I716" s="126"/>
      <c r="J716" s="402"/>
      <c r="K716" s="401"/>
    </row>
    <row r="717">
      <c r="A717" s="121"/>
      <c r="B717" s="399"/>
      <c r="D717" s="123"/>
      <c r="E717" s="123"/>
      <c r="F717" s="125"/>
      <c r="G717" s="125"/>
      <c r="I717" s="126"/>
      <c r="J717" s="402"/>
      <c r="K717" s="401"/>
    </row>
    <row r="718">
      <c r="A718" s="121"/>
      <c r="B718" s="399"/>
      <c r="D718" s="123"/>
      <c r="E718" s="123"/>
      <c r="F718" s="125"/>
      <c r="G718" s="125"/>
      <c r="I718" s="126"/>
      <c r="J718" s="402"/>
      <c r="K718" s="401"/>
    </row>
    <row r="719">
      <c r="A719" s="121"/>
      <c r="B719" s="399"/>
      <c r="D719" s="123"/>
      <c r="E719" s="123"/>
      <c r="F719" s="125"/>
      <c r="G719" s="125"/>
      <c r="I719" s="126"/>
      <c r="J719" s="402"/>
      <c r="K719" s="401"/>
    </row>
    <row r="720">
      <c r="A720" s="121"/>
      <c r="B720" s="399"/>
      <c r="D720" s="123"/>
      <c r="E720" s="123"/>
      <c r="F720" s="125"/>
      <c r="G720" s="125"/>
      <c r="I720" s="126"/>
      <c r="J720" s="402"/>
      <c r="K720" s="401"/>
    </row>
    <row r="721">
      <c r="A721" s="121"/>
      <c r="B721" s="399"/>
      <c r="D721" s="123"/>
      <c r="E721" s="123"/>
      <c r="F721" s="125"/>
      <c r="G721" s="125"/>
      <c r="I721" s="126"/>
      <c r="J721" s="402"/>
      <c r="K721" s="401"/>
    </row>
    <row r="722">
      <c r="A722" s="121"/>
      <c r="B722" s="399"/>
      <c r="D722" s="123"/>
      <c r="E722" s="123"/>
      <c r="F722" s="125"/>
      <c r="G722" s="125"/>
      <c r="I722" s="126"/>
      <c r="J722" s="402"/>
      <c r="K722" s="401"/>
    </row>
    <row r="723">
      <c r="A723" s="121"/>
      <c r="B723" s="399"/>
      <c r="D723" s="123"/>
      <c r="E723" s="123"/>
      <c r="F723" s="125"/>
      <c r="G723" s="125"/>
      <c r="I723" s="126"/>
      <c r="J723" s="402"/>
      <c r="K723" s="401"/>
    </row>
    <row r="724">
      <c r="A724" s="121"/>
      <c r="B724" s="399"/>
      <c r="D724" s="123"/>
      <c r="E724" s="123"/>
      <c r="F724" s="125"/>
      <c r="G724" s="125"/>
      <c r="I724" s="126"/>
      <c r="J724" s="402"/>
      <c r="K724" s="401"/>
    </row>
    <row r="725">
      <c r="A725" s="121"/>
      <c r="B725" s="399"/>
      <c r="D725" s="123"/>
      <c r="E725" s="123"/>
      <c r="F725" s="125"/>
      <c r="G725" s="125"/>
      <c r="I725" s="126"/>
      <c r="J725" s="402"/>
      <c r="K725" s="401"/>
    </row>
    <row r="726">
      <c r="A726" s="121"/>
      <c r="B726" s="399"/>
      <c r="D726" s="123"/>
      <c r="E726" s="123"/>
      <c r="F726" s="125"/>
      <c r="G726" s="125"/>
      <c r="I726" s="126"/>
      <c r="J726" s="402"/>
      <c r="K726" s="401"/>
    </row>
    <row r="727">
      <c r="A727" s="121"/>
      <c r="B727" s="399"/>
      <c r="D727" s="123"/>
      <c r="E727" s="123"/>
      <c r="F727" s="125"/>
      <c r="G727" s="125"/>
      <c r="I727" s="126"/>
      <c r="J727" s="402"/>
      <c r="K727" s="401"/>
    </row>
    <row r="728">
      <c r="A728" s="121"/>
      <c r="B728" s="399"/>
      <c r="D728" s="123"/>
      <c r="E728" s="123"/>
      <c r="F728" s="125"/>
      <c r="G728" s="125"/>
      <c r="I728" s="126"/>
      <c r="J728" s="402"/>
      <c r="K728" s="401"/>
    </row>
    <row r="729">
      <c r="A729" s="121"/>
      <c r="B729" s="399"/>
      <c r="D729" s="123"/>
      <c r="E729" s="123"/>
      <c r="F729" s="125"/>
      <c r="G729" s="125"/>
      <c r="I729" s="126"/>
      <c r="J729" s="402"/>
      <c r="K729" s="401"/>
    </row>
    <row r="730">
      <c r="A730" s="121"/>
      <c r="B730" s="399"/>
      <c r="D730" s="123"/>
      <c r="E730" s="123"/>
      <c r="F730" s="125"/>
      <c r="G730" s="125"/>
      <c r="I730" s="126"/>
      <c r="J730" s="402"/>
      <c r="K730" s="401"/>
    </row>
    <row r="731">
      <c r="A731" s="121"/>
      <c r="B731" s="399"/>
      <c r="D731" s="123"/>
      <c r="E731" s="123"/>
      <c r="F731" s="125"/>
      <c r="G731" s="125"/>
      <c r="I731" s="126"/>
      <c r="J731" s="402"/>
      <c r="K731" s="401"/>
    </row>
    <row r="732">
      <c r="A732" s="121"/>
      <c r="B732" s="399"/>
      <c r="D732" s="123"/>
      <c r="E732" s="123"/>
      <c r="F732" s="125"/>
      <c r="G732" s="125"/>
      <c r="I732" s="126"/>
      <c r="J732" s="402"/>
      <c r="K732" s="401"/>
    </row>
    <row r="733">
      <c r="A733" s="121"/>
      <c r="B733" s="399"/>
      <c r="D733" s="123"/>
      <c r="E733" s="123"/>
      <c r="F733" s="125"/>
      <c r="G733" s="125"/>
      <c r="I733" s="126"/>
      <c r="J733" s="402"/>
      <c r="K733" s="401"/>
    </row>
    <row r="734">
      <c r="A734" s="121"/>
      <c r="B734" s="399"/>
      <c r="D734" s="123"/>
      <c r="E734" s="123"/>
      <c r="F734" s="125"/>
      <c r="G734" s="125"/>
      <c r="I734" s="126"/>
      <c r="J734" s="402"/>
      <c r="K734" s="401"/>
    </row>
    <row r="735">
      <c r="A735" s="121"/>
      <c r="B735" s="399"/>
      <c r="D735" s="123"/>
      <c r="E735" s="123"/>
      <c r="F735" s="125"/>
      <c r="G735" s="125"/>
      <c r="I735" s="126"/>
      <c r="J735" s="402"/>
      <c r="K735" s="401"/>
    </row>
    <row r="736">
      <c r="A736" s="121"/>
      <c r="B736" s="399"/>
      <c r="D736" s="123"/>
      <c r="E736" s="123"/>
      <c r="F736" s="125"/>
      <c r="G736" s="125"/>
      <c r="I736" s="126"/>
      <c r="J736" s="402"/>
      <c r="K736" s="401"/>
    </row>
    <row r="737">
      <c r="A737" s="121"/>
      <c r="B737" s="399"/>
      <c r="D737" s="123"/>
      <c r="E737" s="123"/>
      <c r="F737" s="125"/>
      <c r="G737" s="125"/>
      <c r="I737" s="126"/>
      <c r="J737" s="402"/>
      <c r="K737" s="401"/>
    </row>
    <row r="738">
      <c r="A738" s="121"/>
      <c r="B738" s="399"/>
      <c r="D738" s="123"/>
      <c r="E738" s="123"/>
      <c r="F738" s="125"/>
      <c r="G738" s="125"/>
      <c r="I738" s="126"/>
      <c r="J738" s="402"/>
      <c r="K738" s="401"/>
    </row>
    <row r="739">
      <c r="A739" s="121"/>
      <c r="B739" s="399"/>
      <c r="D739" s="123"/>
      <c r="E739" s="123"/>
      <c r="F739" s="125"/>
      <c r="G739" s="125"/>
      <c r="I739" s="126"/>
      <c r="J739" s="402"/>
      <c r="K739" s="401"/>
    </row>
    <row r="740">
      <c r="A740" s="121"/>
      <c r="B740" s="399"/>
      <c r="D740" s="123"/>
      <c r="E740" s="123"/>
      <c r="F740" s="125"/>
      <c r="G740" s="125"/>
      <c r="I740" s="126"/>
      <c r="J740" s="402"/>
      <c r="K740" s="401"/>
    </row>
    <row r="741">
      <c r="A741" s="121"/>
      <c r="B741" s="399"/>
      <c r="D741" s="123"/>
      <c r="E741" s="123"/>
      <c r="F741" s="125"/>
      <c r="G741" s="125"/>
      <c r="I741" s="126"/>
      <c r="J741" s="402"/>
      <c r="K741" s="401"/>
    </row>
    <row r="742">
      <c r="A742" s="121"/>
      <c r="B742" s="399"/>
      <c r="D742" s="123"/>
      <c r="E742" s="123"/>
      <c r="F742" s="125"/>
      <c r="G742" s="125"/>
      <c r="I742" s="126"/>
      <c r="J742" s="402"/>
      <c r="K742" s="401"/>
    </row>
    <row r="743">
      <c r="A743" s="121"/>
      <c r="B743" s="399"/>
      <c r="D743" s="123"/>
      <c r="E743" s="123"/>
      <c r="F743" s="125"/>
      <c r="G743" s="125"/>
      <c r="I743" s="126"/>
      <c r="J743" s="402"/>
      <c r="K743" s="401"/>
    </row>
    <row r="744">
      <c r="A744" s="121"/>
      <c r="B744" s="399"/>
      <c r="D744" s="123"/>
      <c r="E744" s="123"/>
      <c r="F744" s="125"/>
      <c r="G744" s="125"/>
      <c r="I744" s="126"/>
      <c r="J744" s="402"/>
      <c r="K744" s="401"/>
    </row>
    <row r="745">
      <c r="A745" s="121"/>
      <c r="B745" s="399"/>
      <c r="D745" s="123"/>
      <c r="E745" s="123"/>
      <c r="F745" s="125"/>
      <c r="G745" s="125"/>
      <c r="I745" s="126"/>
      <c r="J745" s="402"/>
      <c r="K745" s="401"/>
    </row>
    <row r="746">
      <c r="A746" s="121"/>
      <c r="B746" s="399"/>
      <c r="D746" s="123"/>
      <c r="E746" s="123"/>
      <c r="F746" s="125"/>
      <c r="G746" s="125"/>
      <c r="I746" s="126"/>
      <c r="J746" s="402"/>
      <c r="K746" s="401"/>
    </row>
    <row r="747">
      <c r="A747" s="121"/>
      <c r="B747" s="399"/>
      <c r="D747" s="123"/>
      <c r="E747" s="123"/>
      <c r="F747" s="125"/>
      <c r="G747" s="125"/>
      <c r="I747" s="126"/>
      <c r="J747" s="402"/>
      <c r="K747" s="401"/>
    </row>
    <row r="748">
      <c r="A748" s="121"/>
      <c r="B748" s="399"/>
      <c r="D748" s="123"/>
      <c r="E748" s="123"/>
      <c r="F748" s="125"/>
      <c r="G748" s="125"/>
      <c r="I748" s="126"/>
      <c r="J748" s="402"/>
      <c r="K748" s="401"/>
    </row>
    <row r="749">
      <c r="A749" s="121"/>
      <c r="B749" s="399"/>
      <c r="D749" s="123"/>
      <c r="E749" s="123"/>
      <c r="F749" s="125"/>
      <c r="G749" s="125"/>
      <c r="I749" s="126"/>
      <c r="J749" s="402"/>
      <c r="K749" s="401"/>
    </row>
    <row r="750">
      <c r="A750" s="121"/>
      <c r="B750" s="399"/>
      <c r="D750" s="123"/>
      <c r="E750" s="123"/>
      <c r="F750" s="125"/>
      <c r="G750" s="125"/>
      <c r="I750" s="126"/>
      <c r="J750" s="402"/>
      <c r="K750" s="401"/>
    </row>
    <row r="751">
      <c r="A751" s="121"/>
      <c r="B751" s="399"/>
      <c r="D751" s="123"/>
      <c r="E751" s="123"/>
      <c r="F751" s="125"/>
      <c r="G751" s="125"/>
      <c r="I751" s="126"/>
      <c r="J751" s="402"/>
      <c r="K751" s="401"/>
    </row>
    <row r="752">
      <c r="A752" s="121"/>
      <c r="B752" s="399"/>
      <c r="D752" s="123"/>
      <c r="E752" s="123"/>
      <c r="F752" s="125"/>
      <c r="G752" s="125"/>
      <c r="I752" s="126"/>
      <c r="J752" s="402"/>
      <c r="K752" s="401"/>
    </row>
    <row r="753">
      <c r="A753" s="121"/>
      <c r="B753" s="399"/>
      <c r="D753" s="123"/>
      <c r="E753" s="123"/>
      <c r="F753" s="125"/>
      <c r="G753" s="125"/>
      <c r="I753" s="126"/>
      <c r="J753" s="402"/>
      <c r="K753" s="401"/>
    </row>
    <row r="754">
      <c r="A754" s="121"/>
      <c r="B754" s="399"/>
      <c r="D754" s="123"/>
      <c r="E754" s="123"/>
      <c r="F754" s="125"/>
      <c r="G754" s="125"/>
      <c r="I754" s="126"/>
      <c r="J754" s="402"/>
      <c r="K754" s="401"/>
    </row>
    <row r="755">
      <c r="A755" s="121"/>
      <c r="B755" s="399"/>
      <c r="D755" s="123"/>
      <c r="E755" s="123"/>
      <c r="F755" s="125"/>
      <c r="G755" s="125"/>
      <c r="I755" s="126"/>
      <c r="J755" s="402"/>
      <c r="K755" s="401"/>
    </row>
    <row r="756">
      <c r="A756" s="121"/>
      <c r="B756" s="399"/>
      <c r="D756" s="123"/>
      <c r="E756" s="123"/>
      <c r="F756" s="125"/>
      <c r="G756" s="125"/>
      <c r="I756" s="126"/>
      <c r="J756" s="402"/>
      <c r="K756" s="401"/>
    </row>
    <row r="757">
      <c r="A757" s="121"/>
      <c r="B757" s="399"/>
      <c r="D757" s="123"/>
      <c r="E757" s="123"/>
      <c r="F757" s="125"/>
      <c r="G757" s="125"/>
      <c r="I757" s="126"/>
      <c r="J757" s="402"/>
      <c r="K757" s="401"/>
    </row>
    <row r="758">
      <c r="A758" s="121"/>
      <c r="B758" s="399"/>
      <c r="D758" s="123"/>
      <c r="E758" s="123"/>
      <c r="F758" s="125"/>
      <c r="G758" s="125"/>
      <c r="I758" s="126"/>
      <c r="J758" s="402"/>
      <c r="K758" s="401"/>
    </row>
    <row r="759">
      <c r="A759" s="121"/>
      <c r="B759" s="399"/>
      <c r="D759" s="123"/>
      <c r="E759" s="123"/>
      <c r="F759" s="125"/>
      <c r="G759" s="125"/>
      <c r="I759" s="126"/>
      <c r="J759" s="402"/>
      <c r="K759" s="401"/>
    </row>
    <row r="760">
      <c r="A760" s="121"/>
      <c r="B760" s="399"/>
      <c r="D760" s="123"/>
      <c r="E760" s="123"/>
      <c r="F760" s="125"/>
      <c r="G760" s="125"/>
      <c r="I760" s="126"/>
      <c r="J760" s="402"/>
      <c r="K760" s="401"/>
    </row>
    <row r="761">
      <c r="A761" s="121"/>
      <c r="B761" s="399"/>
      <c r="D761" s="123"/>
      <c r="E761" s="123"/>
      <c r="F761" s="125"/>
      <c r="G761" s="125"/>
      <c r="I761" s="126"/>
      <c r="J761" s="402"/>
      <c r="K761" s="401"/>
    </row>
    <row r="762">
      <c r="A762" s="121"/>
      <c r="B762" s="399"/>
      <c r="D762" s="123"/>
      <c r="E762" s="123"/>
      <c r="F762" s="125"/>
      <c r="G762" s="125"/>
      <c r="I762" s="126"/>
      <c r="J762" s="402"/>
      <c r="K762" s="401"/>
    </row>
    <row r="763">
      <c r="A763" s="121"/>
      <c r="B763" s="399"/>
      <c r="D763" s="123"/>
      <c r="E763" s="123"/>
      <c r="F763" s="125"/>
      <c r="G763" s="125"/>
      <c r="I763" s="126"/>
      <c r="J763" s="402"/>
      <c r="K763" s="401"/>
    </row>
    <row r="764">
      <c r="A764" s="121"/>
      <c r="B764" s="399"/>
      <c r="D764" s="123"/>
      <c r="E764" s="123"/>
      <c r="F764" s="125"/>
      <c r="G764" s="125"/>
      <c r="I764" s="126"/>
      <c r="J764" s="402"/>
      <c r="K764" s="401"/>
    </row>
    <row r="765">
      <c r="A765" s="121"/>
      <c r="B765" s="399"/>
      <c r="D765" s="123"/>
      <c r="E765" s="123"/>
      <c r="F765" s="125"/>
      <c r="G765" s="125"/>
      <c r="I765" s="126"/>
      <c r="J765" s="402"/>
      <c r="K765" s="401"/>
    </row>
    <row r="766">
      <c r="A766" s="121"/>
      <c r="B766" s="399"/>
      <c r="D766" s="123"/>
      <c r="E766" s="123"/>
      <c r="F766" s="125"/>
      <c r="G766" s="125"/>
      <c r="I766" s="126"/>
      <c r="J766" s="402"/>
      <c r="K766" s="401"/>
    </row>
    <row r="767">
      <c r="A767" s="121"/>
      <c r="B767" s="399"/>
      <c r="D767" s="123"/>
      <c r="E767" s="123"/>
      <c r="F767" s="125"/>
      <c r="G767" s="125"/>
      <c r="I767" s="126"/>
      <c r="J767" s="402"/>
      <c r="K767" s="401"/>
    </row>
    <row r="768">
      <c r="A768" s="121"/>
      <c r="B768" s="399"/>
      <c r="D768" s="123"/>
      <c r="E768" s="123"/>
      <c r="F768" s="125"/>
      <c r="G768" s="125"/>
      <c r="I768" s="126"/>
      <c r="J768" s="402"/>
      <c r="K768" s="401"/>
    </row>
    <row r="769">
      <c r="A769" s="121"/>
      <c r="B769" s="399"/>
      <c r="D769" s="123"/>
      <c r="E769" s="123"/>
      <c r="F769" s="125"/>
      <c r="G769" s="125"/>
      <c r="I769" s="126"/>
      <c r="J769" s="402"/>
      <c r="K769" s="401"/>
    </row>
    <row r="770">
      <c r="A770" s="121"/>
      <c r="B770" s="399"/>
      <c r="D770" s="123"/>
      <c r="E770" s="123"/>
      <c r="F770" s="125"/>
      <c r="G770" s="125"/>
      <c r="I770" s="126"/>
      <c r="J770" s="402"/>
      <c r="K770" s="401"/>
    </row>
    <row r="771">
      <c r="A771" s="121"/>
      <c r="B771" s="399"/>
      <c r="D771" s="123"/>
      <c r="E771" s="123"/>
      <c r="F771" s="125"/>
      <c r="G771" s="125"/>
      <c r="I771" s="126"/>
      <c r="J771" s="402"/>
      <c r="K771" s="401"/>
    </row>
    <row r="772">
      <c r="A772" s="121"/>
      <c r="B772" s="399"/>
      <c r="D772" s="123"/>
      <c r="E772" s="123"/>
      <c r="F772" s="125"/>
      <c r="G772" s="125"/>
      <c r="I772" s="126"/>
      <c r="J772" s="402"/>
      <c r="K772" s="401"/>
    </row>
    <row r="773">
      <c r="A773" s="121"/>
      <c r="B773" s="399"/>
      <c r="D773" s="123"/>
      <c r="E773" s="123"/>
      <c r="F773" s="125"/>
      <c r="G773" s="125"/>
      <c r="I773" s="126"/>
      <c r="J773" s="402"/>
      <c r="K773" s="401"/>
    </row>
    <row r="774">
      <c r="A774" s="121"/>
      <c r="B774" s="399"/>
      <c r="D774" s="123"/>
      <c r="E774" s="123"/>
      <c r="F774" s="125"/>
      <c r="G774" s="125"/>
      <c r="I774" s="126"/>
      <c r="J774" s="402"/>
      <c r="K774" s="401"/>
    </row>
    <row r="775">
      <c r="A775" s="121"/>
      <c r="B775" s="399"/>
      <c r="D775" s="123"/>
      <c r="E775" s="123"/>
      <c r="F775" s="125"/>
      <c r="G775" s="125"/>
      <c r="I775" s="126"/>
      <c r="J775" s="402"/>
      <c r="K775" s="401"/>
    </row>
    <row r="776">
      <c r="A776" s="121"/>
      <c r="B776" s="399"/>
      <c r="D776" s="123"/>
      <c r="E776" s="123"/>
      <c r="F776" s="125"/>
      <c r="G776" s="125"/>
      <c r="I776" s="126"/>
      <c r="J776" s="402"/>
      <c r="K776" s="401"/>
    </row>
    <row r="777">
      <c r="A777" s="121"/>
      <c r="B777" s="399"/>
      <c r="D777" s="123"/>
      <c r="E777" s="123"/>
      <c r="F777" s="125"/>
      <c r="G777" s="125"/>
      <c r="I777" s="126"/>
      <c r="J777" s="402"/>
      <c r="K777" s="401"/>
    </row>
    <row r="778">
      <c r="A778" s="121"/>
      <c r="B778" s="399"/>
      <c r="D778" s="123"/>
      <c r="E778" s="123"/>
      <c r="F778" s="125"/>
      <c r="G778" s="125"/>
      <c r="I778" s="126"/>
      <c r="J778" s="402"/>
      <c r="K778" s="401"/>
    </row>
    <row r="779">
      <c r="A779" s="121"/>
      <c r="B779" s="399"/>
      <c r="D779" s="123"/>
      <c r="E779" s="123"/>
      <c r="F779" s="125"/>
      <c r="G779" s="125"/>
      <c r="I779" s="126"/>
      <c r="J779" s="402"/>
      <c r="K779" s="401"/>
    </row>
    <row r="780">
      <c r="A780" s="121"/>
      <c r="B780" s="399"/>
      <c r="D780" s="123"/>
      <c r="E780" s="123"/>
      <c r="F780" s="125"/>
      <c r="G780" s="125"/>
      <c r="I780" s="126"/>
      <c r="J780" s="402"/>
      <c r="K780" s="401"/>
    </row>
    <row r="781">
      <c r="A781" s="121"/>
      <c r="B781" s="399"/>
      <c r="D781" s="123"/>
      <c r="E781" s="123"/>
      <c r="F781" s="125"/>
      <c r="G781" s="125"/>
      <c r="I781" s="126"/>
      <c r="J781" s="402"/>
      <c r="K781" s="401"/>
    </row>
    <row r="782">
      <c r="A782" s="121"/>
      <c r="B782" s="399"/>
      <c r="D782" s="123"/>
      <c r="E782" s="123"/>
      <c r="F782" s="125"/>
      <c r="G782" s="125"/>
      <c r="I782" s="126"/>
      <c r="J782" s="402"/>
      <c r="K782" s="401"/>
    </row>
    <row r="783">
      <c r="A783" s="121"/>
      <c r="B783" s="399"/>
      <c r="D783" s="123"/>
      <c r="E783" s="123"/>
      <c r="F783" s="125"/>
      <c r="G783" s="125"/>
      <c r="I783" s="126"/>
      <c r="J783" s="402"/>
      <c r="K783" s="401"/>
    </row>
    <row r="784">
      <c r="A784" s="121"/>
      <c r="B784" s="399"/>
      <c r="D784" s="123"/>
      <c r="E784" s="123"/>
      <c r="F784" s="125"/>
      <c r="G784" s="125"/>
      <c r="I784" s="126"/>
      <c r="J784" s="402"/>
      <c r="K784" s="401"/>
    </row>
    <row r="785">
      <c r="A785" s="121"/>
      <c r="B785" s="399"/>
      <c r="D785" s="123"/>
      <c r="E785" s="123"/>
      <c r="F785" s="125"/>
      <c r="G785" s="125"/>
      <c r="I785" s="126"/>
      <c r="J785" s="402"/>
      <c r="K785" s="401"/>
    </row>
    <row r="786">
      <c r="A786" s="121"/>
      <c r="B786" s="399"/>
      <c r="D786" s="123"/>
      <c r="E786" s="123"/>
      <c r="F786" s="125"/>
      <c r="G786" s="125"/>
      <c r="I786" s="126"/>
      <c r="J786" s="402"/>
      <c r="K786" s="401"/>
    </row>
    <row r="787">
      <c r="A787" s="121"/>
      <c r="B787" s="399"/>
      <c r="D787" s="123"/>
      <c r="E787" s="123"/>
      <c r="F787" s="125"/>
      <c r="G787" s="125"/>
      <c r="I787" s="126"/>
      <c r="J787" s="402"/>
      <c r="K787" s="401"/>
    </row>
    <row r="788">
      <c r="A788" s="121"/>
      <c r="B788" s="399"/>
      <c r="D788" s="123"/>
      <c r="E788" s="123"/>
      <c r="F788" s="125"/>
      <c r="G788" s="125"/>
      <c r="I788" s="126"/>
      <c r="J788" s="402"/>
      <c r="K788" s="401"/>
    </row>
    <row r="789">
      <c r="A789" s="121"/>
      <c r="B789" s="399"/>
      <c r="D789" s="123"/>
      <c r="E789" s="123"/>
      <c r="F789" s="125"/>
      <c r="G789" s="125"/>
      <c r="I789" s="126"/>
      <c r="J789" s="402"/>
      <c r="K789" s="401"/>
    </row>
    <row r="790">
      <c r="A790" s="121"/>
      <c r="B790" s="399"/>
      <c r="D790" s="123"/>
      <c r="E790" s="123"/>
      <c r="F790" s="125"/>
      <c r="G790" s="125"/>
      <c r="I790" s="126"/>
      <c r="J790" s="402"/>
      <c r="K790" s="401"/>
    </row>
    <row r="791">
      <c r="A791" s="121"/>
      <c r="B791" s="399"/>
      <c r="D791" s="123"/>
      <c r="E791" s="123"/>
      <c r="F791" s="125"/>
      <c r="G791" s="125"/>
      <c r="I791" s="126"/>
      <c r="J791" s="402"/>
      <c r="K791" s="401"/>
    </row>
    <row r="792">
      <c r="A792" s="121"/>
      <c r="B792" s="399"/>
      <c r="D792" s="123"/>
      <c r="E792" s="123"/>
      <c r="F792" s="125"/>
      <c r="G792" s="125"/>
      <c r="I792" s="126"/>
      <c r="J792" s="402"/>
      <c r="K792" s="401"/>
    </row>
    <row r="793">
      <c r="A793" s="121"/>
      <c r="B793" s="399"/>
      <c r="D793" s="123"/>
      <c r="E793" s="123"/>
      <c r="F793" s="125"/>
      <c r="G793" s="125"/>
      <c r="I793" s="126"/>
      <c r="J793" s="402"/>
      <c r="K793" s="401"/>
    </row>
    <row r="794">
      <c r="A794" s="121"/>
      <c r="B794" s="399"/>
      <c r="D794" s="123"/>
      <c r="E794" s="123"/>
      <c r="F794" s="125"/>
      <c r="G794" s="125"/>
      <c r="I794" s="126"/>
      <c r="J794" s="402"/>
      <c r="K794" s="401"/>
    </row>
    <row r="795">
      <c r="A795" s="121"/>
      <c r="B795" s="399"/>
      <c r="D795" s="123"/>
      <c r="E795" s="123"/>
      <c r="F795" s="125"/>
      <c r="G795" s="125"/>
      <c r="I795" s="126"/>
      <c r="J795" s="402"/>
      <c r="K795" s="401"/>
    </row>
    <row r="796">
      <c r="A796" s="121"/>
      <c r="B796" s="399"/>
      <c r="D796" s="123"/>
      <c r="E796" s="123"/>
      <c r="F796" s="125"/>
      <c r="G796" s="125"/>
      <c r="I796" s="126"/>
      <c r="J796" s="402"/>
      <c r="K796" s="401"/>
    </row>
    <row r="797">
      <c r="A797" s="121"/>
      <c r="B797" s="399"/>
      <c r="D797" s="123"/>
      <c r="E797" s="123"/>
      <c r="F797" s="125"/>
      <c r="G797" s="125"/>
      <c r="I797" s="126"/>
      <c r="J797" s="402"/>
      <c r="K797" s="401"/>
    </row>
    <row r="798">
      <c r="A798" s="121"/>
      <c r="B798" s="399"/>
      <c r="D798" s="123"/>
      <c r="E798" s="123"/>
      <c r="F798" s="125"/>
      <c r="G798" s="125"/>
      <c r="I798" s="126"/>
      <c r="J798" s="402"/>
      <c r="K798" s="401"/>
    </row>
    <row r="799">
      <c r="A799" s="121"/>
      <c r="B799" s="399"/>
      <c r="D799" s="123"/>
      <c r="E799" s="123"/>
      <c r="F799" s="125"/>
      <c r="G799" s="125"/>
      <c r="I799" s="126"/>
      <c r="J799" s="402"/>
      <c r="K799" s="401"/>
    </row>
    <row r="800">
      <c r="A800" s="121"/>
      <c r="B800" s="399"/>
      <c r="D800" s="123"/>
      <c r="E800" s="123"/>
      <c r="F800" s="125"/>
      <c r="G800" s="125"/>
      <c r="I800" s="126"/>
      <c r="J800" s="402"/>
      <c r="K800" s="401"/>
    </row>
    <row r="801">
      <c r="A801" s="121"/>
      <c r="B801" s="399"/>
      <c r="D801" s="123"/>
      <c r="E801" s="123"/>
      <c r="F801" s="125"/>
      <c r="G801" s="125"/>
      <c r="I801" s="126"/>
      <c r="J801" s="402"/>
      <c r="K801" s="401"/>
    </row>
    <row r="802">
      <c r="A802" s="121"/>
      <c r="B802" s="399"/>
      <c r="D802" s="123"/>
      <c r="E802" s="123"/>
      <c r="F802" s="125"/>
      <c r="G802" s="125"/>
      <c r="I802" s="126"/>
      <c r="J802" s="402"/>
      <c r="K802" s="401"/>
    </row>
    <row r="803">
      <c r="A803" s="121"/>
      <c r="B803" s="399"/>
      <c r="D803" s="123"/>
      <c r="E803" s="123"/>
      <c r="F803" s="125"/>
      <c r="G803" s="125"/>
      <c r="I803" s="126"/>
      <c r="J803" s="402"/>
      <c r="K803" s="401"/>
    </row>
    <row r="804">
      <c r="A804" s="121"/>
      <c r="B804" s="399"/>
      <c r="D804" s="123"/>
      <c r="E804" s="123"/>
      <c r="F804" s="125"/>
      <c r="G804" s="125"/>
      <c r="I804" s="126"/>
      <c r="J804" s="402"/>
      <c r="K804" s="401"/>
    </row>
    <row r="805">
      <c r="A805" s="121"/>
      <c r="B805" s="399"/>
      <c r="D805" s="123"/>
      <c r="E805" s="123"/>
      <c r="F805" s="125"/>
      <c r="G805" s="125"/>
      <c r="I805" s="126"/>
      <c r="J805" s="402"/>
      <c r="K805" s="401"/>
    </row>
    <row r="806">
      <c r="A806" s="121"/>
      <c r="B806" s="399"/>
      <c r="D806" s="123"/>
      <c r="E806" s="123"/>
      <c r="F806" s="125"/>
      <c r="G806" s="125"/>
      <c r="I806" s="126"/>
      <c r="J806" s="402"/>
      <c r="K806" s="401"/>
    </row>
    <row r="807">
      <c r="A807" s="121"/>
      <c r="B807" s="399"/>
      <c r="D807" s="123"/>
      <c r="E807" s="123"/>
      <c r="F807" s="125"/>
      <c r="G807" s="125"/>
      <c r="I807" s="126"/>
      <c r="J807" s="402"/>
      <c r="K807" s="401"/>
    </row>
    <row r="808">
      <c r="A808" s="121"/>
      <c r="B808" s="399"/>
      <c r="D808" s="123"/>
      <c r="E808" s="123"/>
      <c r="F808" s="125"/>
      <c r="G808" s="125"/>
      <c r="I808" s="126"/>
      <c r="J808" s="402"/>
      <c r="K808" s="401"/>
    </row>
    <row r="809">
      <c r="A809" s="121"/>
      <c r="B809" s="399"/>
      <c r="D809" s="123"/>
      <c r="E809" s="123"/>
      <c r="F809" s="125"/>
      <c r="G809" s="125"/>
      <c r="I809" s="126"/>
      <c r="J809" s="402"/>
      <c r="K809" s="401"/>
    </row>
    <row r="810">
      <c r="A810" s="121"/>
      <c r="B810" s="399"/>
      <c r="D810" s="123"/>
      <c r="E810" s="123"/>
      <c r="F810" s="125"/>
      <c r="G810" s="125"/>
      <c r="I810" s="126"/>
      <c r="J810" s="402"/>
      <c r="K810" s="401"/>
    </row>
    <row r="811">
      <c r="A811" s="121"/>
      <c r="B811" s="399"/>
      <c r="D811" s="123"/>
      <c r="E811" s="123"/>
      <c r="F811" s="125"/>
      <c r="G811" s="125"/>
      <c r="I811" s="126"/>
      <c r="J811" s="402"/>
      <c r="K811" s="401"/>
    </row>
    <row r="812">
      <c r="A812" s="121"/>
      <c r="B812" s="399"/>
      <c r="D812" s="123"/>
      <c r="E812" s="123"/>
      <c r="F812" s="125"/>
      <c r="G812" s="125"/>
      <c r="I812" s="126"/>
      <c r="J812" s="402"/>
      <c r="K812" s="401"/>
    </row>
    <row r="813">
      <c r="A813" s="121"/>
      <c r="B813" s="399"/>
      <c r="D813" s="123"/>
      <c r="E813" s="123"/>
      <c r="F813" s="125"/>
      <c r="G813" s="125"/>
      <c r="I813" s="126"/>
      <c r="J813" s="402"/>
      <c r="K813" s="401"/>
    </row>
    <row r="814">
      <c r="A814" s="121"/>
      <c r="B814" s="399"/>
      <c r="D814" s="123"/>
      <c r="E814" s="123"/>
      <c r="F814" s="125"/>
      <c r="G814" s="125"/>
      <c r="I814" s="126"/>
      <c r="J814" s="402"/>
      <c r="K814" s="401"/>
    </row>
    <row r="815">
      <c r="A815" s="121"/>
      <c r="B815" s="399"/>
      <c r="D815" s="123"/>
      <c r="E815" s="123"/>
      <c r="F815" s="125"/>
      <c r="G815" s="125"/>
      <c r="I815" s="126"/>
      <c r="J815" s="402"/>
      <c r="K815" s="401"/>
    </row>
    <row r="816">
      <c r="A816" s="121"/>
      <c r="B816" s="399"/>
      <c r="D816" s="123"/>
      <c r="E816" s="123"/>
      <c r="F816" s="125"/>
      <c r="G816" s="125"/>
      <c r="I816" s="126"/>
      <c r="J816" s="402"/>
      <c r="K816" s="401"/>
    </row>
    <row r="817">
      <c r="A817" s="121"/>
      <c r="B817" s="399"/>
      <c r="D817" s="123"/>
      <c r="E817" s="123"/>
      <c r="F817" s="125"/>
      <c r="G817" s="125"/>
      <c r="I817" s="126"/>
      <c r="J817" s="402"/>
      <c r="K817" s="401"/>
    </row>
    <row r="818">
      <c r="A818" s="121"/>
      <c r="B818" s="399"/>
      <c r="D818" s="123"/>
      <c r="E818" s="123"/>
      <c r="F818" s="125"/>
      <c r="G818" s="125"/>
      <c r="I818" s="126"/>
      <c r="J818" s="402"/>
      <c r="K818" s="401"/>
    </row>
    <row r="819">
      <c r="A819" s="121"/>
      <c r="B819" s="399"/>
      <c r="D819" s="123"/>
      <c r="E819" s="123"/>
      <c r="F819" s="125"/>
      <c r="G819" s="125"/>
      <c r="I819" s="126"/>
      <c r="J819" s="402"/>
      <c r="K819" s="401"/>
    </row>
    <row r="820">
      <c r="A820" s="121"/>
      <c r="B820" s="399"/>
      <c r="D820" s="123"/>
      <c r="E820" s="123"/>
      <c r="F820" s="125"/>
      <c r="G820" s="125"/>
      <c r="I820" s="126"/>
      <c r="J820" s="402"/>
      <c r="K820" s="401"/>
    </row>
    <row r="821">
      <c r="A821" s="121"/>
      <c r="B821" s="399"/>
      <c r="D821" s="123"/>
      <c r="E821" s="123"/>
      <c r="F821" s="125"/>
      <c r="G821" s="125"/>
      <c r="I821" s="126"/>
      <c r="J821" s="402"/>
      <c r="K821" s="401"/>
    </row>
    <row r="822">
      <c r="A822" s="121"/>
      <c r="B822" s="399"/>
      <c r="D822" s="123"/>
      <c r="E822" s="123"/>
      <c r="F822" s="125"/>
      <c r="G822" s="125"/>
      <c r="I822" s="126"/>
      <c r="J822" s="402"/>
      <c r="K822" s="401"/>
    </row>
    <row r="823">
      <c r="A823" s="121"/>
      <c r="B823" s="399"/>
      <c r="D823" s="123"/>
      <c r="E823" s="123"/>
      <c r="F823" s="125"/>
      <c r="G823" s="125"/>
      <c r="I823" s="126"/>
      <c r="J823" s="402"/>
      <c r="K823" s="401"/>
    </row>
    <row r="824">
      <c r="A824" s="121"/>
      <c r="B824" s="399"/>
      <c r="D824" s="123"/>
      <c r="E824" s="123"/>
      <c r="F824" s="125"/>
      <c r="G824" s="125"/>
      <c r="I824" s="126"/>
      <c r="J824" s="402"/>
      <c r="K824" s="401"/>
    </row>
    <row r="825">
      <c r="A825" s="121"/>
      <c r="B825" s="399"/>
      <c r="D825" s="123"/>
      <c r="E825" s="123"/>
      <c r="F825" s="125"/>
      <c r="G825" s="125"/>
      <c r="I825" s="126"/>
      <c r="J825" s="402"/>
      <c r="K825" s="401"/>
    </row>
    <row r="826">
      <c r="A826" s="121"/>
      <c r="B826" s="399"/>
      <c r="D826" s="123"/>
      <c r="E826" s="123"/>
      <c r="F826" s="125"/>
      <c r="G826" s="125"/>
      <c r="I826" s="126"/>
      <c r="J826" s="402"/>
      <c r="K826" s="401"/>
    </row>
    <row r="827">
      <c r="A827" s="121"/>
      <c r="B827" s="399"/>
      <c r="D827" s="123"/>
      <c r="E827" s="123"/>
      <c r="F827" s="125"/>
      <c r="G827" s="125"/>
      <c r="I827" s="126"/>
      <c r="J827" s="402"/>
      <c r="K827" s="401"/>
    </row>
    <row r="828">
      <c r="A828" s="121"/>
      <c r="B828" s="399"/>
      <c r="D828" s="123"/>
      <c r="E828" s="123"/>
      <c r="F828" s="125"/>
      <c r="G828" s="125"/>
      <c r="I828" s="126"/>
      <c r="J828" s="402"/>
      <c r="K828" s="401"/>
    </row>
    <row r="829">
      <c r="A829" s="121"/>
      <c r="B829" s="399"/>
      <c r="D829" s="123"/>
      <c r="E829" s="123"/>
      <c r="F829" s="125"/>
      <c r="G829" s="125"/>
      <c r="I829" s="126"/>
      <c r="J829" s="402"/>
      <c r="K829" s="401"/>
    </row>
    <row r="830">
      <c r="A830" s="121"/>
      <c r="B830" s="399"/>
      <c r="D830" s="123"/>
      <c r="E830" s="123"/>
      <c r="F830" s="125"/>
      <c r="G830" s="125"/>
      <c r="I830" s="126"/>
      <c r="J830" s="402"/>
      <c r="K830" s="401"/>
    </row>
    <row r="831">
      <c r="A831" s="121"/>
      <c r="B831" s="399"/>
      <c r="D831" s="123"/>
      <c r="E831" s="123"/>
      <c r="F831" s="125"/>
      <c r="G831" s="125"/>
      <c r="I831" s="126"/>
      <c r="J831" s="402"/>
      <c r="K831" s="401"/>
    </row>
    <row r="832">
      <c r="A832" s="121"/>
      <c r="B832" s="399"/>
      <c r="D832" s="123"/>
      <c r="E832" s="123"/>
      <c r="F832" s="125"/>
      <c r="G832" s="125"/>
      <c r="I832" s="126"/>
      <c r="J832" s="402"/>
      <c r="K832" s="401"/>
    </row>
    <row r="833">
      <c r="A833" s="121"/>
      <c r="B833" s="399"/>
      <c r="D833" s="123"/>
      <c r="E833" s="123"/>
      <c r="F833" s="125"/>
      <c r="G833" s="125"/>
      <c r="I833" s="126"/>
      <c r="J833" s="402"/>
      <c r="K833" s="401"/>
    </row>
    <row r="834">
      <c r="A834" s="121"/>
      <c r="B834" s="399"/>
      <c r="D834" s="123"/>
      <c r="E834" s="123"/>
      <c r="F834" s="125"/>
      <c r="G834" s="125"/>
      <c r="I834" s="126"/>
      <c r="J834" s="402"/>
      <c r="K834" s="401"/>
    </row>
    <row r="835">
      <c r="A835" s="121"/>
      <c r="B835" s="399"/>
      <c r="D835" s="123"/>
      <c r="E835" s="123"/>
      <c r="F835" s="125"/>
      <c r="G835" s="125"/>
      <c r="I835" s="126"/>
      <c r="J835" s="402"/>
      <c r="K835" s="401"/>
    </row>
    <row r="836">
      <c r="A836" s="121"/>
      <c r="B836" s="399"/>
      <c r="D836" s="123"/>
      <c r="E836" s="123"/>
      <c r="F836" s="125"/>
      <c r="G836" s="125"/>
      <c r="I836" s="126"/>
      <c r="J836" s="402"/>
      <c r="K836" s="401"/>
    </row>
    <row r="837">
      <c r="A837" s="121"/>
      <c r="B837" s="399"/>
      <c r="D837" s="123"/>
      <c r="E837" s="123"/>
      <c r="F837" s="125"/>
      <c r="G837" s="125"/>
      <c r="I837" s="126"/>
      <c r="J837" s="402"/>
      <c r="K837" s="401"/>
    </row>
    <row r="838">
      <c r="A838" s="121"/>
      <c r="B838" s="399"/>
      <c r="D838" s="123"/>
      <c r="E838" s="123"/>
      <c r="F838" s="125"/>
      <c r="G838" s="125"/>
      <c r="I838" s="126"/>
      <c r="J838" s="402"/>
      <c r="K838" s="401"/>
    </row>
    <row r="839">
      <c r="A839" s="121"/>
      <c r="B839" s="399"/>
      <c r="D839" s="123"/>
      <c r="E839" s="123"/>
      <c r="F839" s="125"/>
      <c r="G839" s="125"/>
      <c r="I839" s="126"/>
      <c r="J839" s="402"/>
      <c r="K839" s="401"/>
    </row>
    <row r="840">
      <c r="A840" s="121"/>
      <c r="B840" s="399"/>
      <c r="D840" s="123"/>
      <c r="E840" s="123"/>
      <c r="F840" s="125"/>
      <c r="G840" s="125"/>
      <c r="I840" s="126"/>
      <c r="J840" s="402"/>
      <c r="K840" s="401"/>
    </row>
    <row r="841">
      <c r="A841" s="121"/>
      <c r="B841" s="399"/>
      <c r="D841" s="123"/>
      <c r="E841" s="123"/>
      <c r="F841" s="125"/>
      <c r="G841" s="125"/>
      <c r="I841" s="126"/>
      <c r="J841" s="402"/>
      <c r="K841" s="401"/>
    </row>
    <row r="842">
      <c r="A842" s="121"/>
      <c r="B842" s="399"/>
      <c r="D842" s="123"/>
      <c r="E842" s="123"/>
      <c r="F842" s="125"/>
      <c r="G842" s="125"/>
      <c r="I842" s="126"/>
      <c r="J842" s="402"/>
      <c r="K842" s="401"/>
    </row>
    <row r="843">
      <c r="A843" s="121"/>
      <c r="B843" s="399"/>
      <c r="D843" s="123"/>
      <c r="E843" s="123"/>
      <c r="F843" s="125"/>
      <c r="G843" s="125"/>
      <c r="I843" s="126"/>
      <c r="J843" s="402"/>
      <c r="K843" s="401"/>
    </row>
    <row r="844">
      <c r="A844" s="121"/>
      <c r="B844" s="399"/>
      <c r="D844" s="123"/>
      <c r="E844" s="123"/>
      <c r="F844" s="125"/>
      <c r="G844" s="125"/>
      <c r="I844" s="126"/>
      <c r="J844" s="402"/>
      <c r="K844" s="401"/>
    </row>
    <row r="845">
      <c r="A845" s="121"/>
      <c r="B845" s="399"/>
      <c r="D845" s="123"/>
      <c r="E845" s="123"/>
      <c r="F845" s="125"/>
      <c r="G845" s="125"/>
      <c r="I845" s="126"/>
      <c r="J845" s="402"/>
      <c r="K845" s="401"/>
    </row>
    <row r="846">
      <c r="A846" s="121"/>
      <c r="B846" s="399"/>
      <c r="D846" s="123"/>
      <c r="E846" s="123"/>
      <c r="F846" s="125"/>
      <c r="G846" s="125"/>
      <c r="I846" s="126"/>
      <c r="J846" s="402"/>
      <c r="K846" s="401"/>
    </row>
    <row r="847">
      <c r="A847" s="121"/>
      <c r="B847" s="399"/>
      <c r="D847" s="123"/>
      <c r="E847" s="123"/>
      <c r="F847" s="125"/>
      <c r="G847" s="125"/>
      <c r="I847" s="126"/>
      <c r="J847" s="402"/>
      <c r="K847" s="401"/>
    </row>
    <row r="848">
      <c r="A848" s="121"/>
      <c r="B848" s="399"/>
      <c r="D848" s="123"/>
      <c r="E848" s="123"/>
      <c r="F848" s="125"/>
      <c r="G848" s="125"/>
      <c r="I848" s="126"/>
      <c r="J848" s="402"/>
      <c r="K848" s="401"/>
    </row>
    <row r="849">
      <c r="A849" s="121"/>
      <c r="B849" s="399"/>
      <c r="D849" s="123"/>
      <c r="E849" s="123"/>
      <c r="F849" s="125"/>
      <c r="G849" s="125"/>
      <c r="I849" s="126"/>
      <c r="J849" s="402"/>
      <c r="K849" s="401"/>
    </row>
    <row r="850">
      <c r="A850" s="121"/>
      <c r="B850" s="399"/>
      <c r="D850" s="123"/>
      <c r="E850" s="123"/>
      <c r="F850" s="125"/>
      <c r="G850" s="125"/>
      <c r="I850" s="126"/>
      <c r="J850" s="402"/>
      <c r="K850" s="401"/>
    </row>
    <row r="851">
      <c r="A851" s="121"/>
      <c r="B851" s="399"/>
      <c r="D851" s="123"/>
      <c r="E851" s="123"/>
      <c r="F851" s="125"/>
      <c r="G851" s="125"/>
      <c r="I851" s="126"/>
      <c r="J851" s="402"/>
      <c r="K851" s="401"/>
    </row>
    <row r="852">
      <c r="A852" s="121"/>
      <c r="B852" s="399"/>
      <c r="D852" s="123"/>
      <c r="E852" s="123"/>
      <c r="F852" s="125"/>
      <c r="G852" s="125"/>
      <c r="I852" s="126"/>
      <c r="J852" s="402"/>
      <c r="K852" s="401"/>
    </row>
    <row r="853">
      <c r="A853" s="121"/>
      <c r="B853" s="399"/>
      <c r="D853" s="123"/>
      <c r="E853" s="123"/>
      <c r="F853" s="125"/>
      <c r="G853" s="125"/>
      <c r="I853" s="126"/>
      <c r="J853" s="402"/>
      <c r="K853" s="401"/>
    </row>
    <row r="854">
      <c r="A854" s="121"/>
      <c r="B854" s="399"/>
      <c r="D854" s="123"/>
      <c r="E854" s="123"/>
      <c r="F854" s="125"/>
      <c r="G854" s="125"/>
      <c r="I854" s="126"/>
      <c r="J854" s="402"/>
      <c r="K854" s="401"/>
    </row>
    <row r="855">
      <c r="A855" s="121"/>
      <c r="B855" s="399"/>
      <c r="D855" s="123"/>
      <c r="E855" s="123"/>
      <c r="F855" s="125"/>
      <c r="G855" s="125"/>
      <c r="I855" s="126"/>
      <c r="J855" s="402"/>
      <c r="K855" s="401"/>
    </row>
    <row r="856">
      <c r="A856" s="121"/>
      <c r="B856" s="399"/>
      <c r="D856" s="123"/>
      <c r="E856" s="123"/>
      <c r="F856" s="125"/>
      <c r="G856" s="125"/>
      <c r="I856" s="126"/>
      <c r="J856" s="402"/>
      <c r="K856" s="401"/>
    </row>
    <row r="857">
      <c r="A857" s="121"/>
      <c r="B857" s="399"/>
      <c r="D857" s="123"/>
      <c r="E857" s="123"/>
      <c r="F857" s="125"/>
      <c r="G857" s="125"/>
      <c r="I857" s="126"/>
      <c r="J857" s="402"/>
      <c r="K857" s="401"/>
    </row>
    <row r="858">
      <c r="A858" s="121"/>
      <c r="B858" s="399"/>
      <c r="D858" s="123"/>
      <c r="E858" s="123"/>
      <c r="F858" s="125"/>
      <c r="G858" s="125"/>
      <c r="I858" s="126"/>
      <c r="J858" s="402"/>
      <c r="K858" s="401"/>
    </row>
    <row r="859">
      <c r="A859" s="121"/>
      <c r="B859" s="399"/>
      <c r="D859" s="123"/>
      <c r="E859" s="123"/>
      <c r="F859" s="125"/>
      <c r="G859" s="125"/>
      <c r="I859" s="126"/>
      <c r="J859" s="402"/>
      <c r="K859" s="401"/>
    </row>
    <row r="860">
      <c r="A860" s="121"/>
      <c r="B860" s="399"/>
      <c r="D860" s="123"/>
      <c r="E860" s="123"/>
      <c r="F860" s="125"/>
      <c r="G860" s="125"/>
      <c r="I860" s="126"/>
      <c r="J860" s="402"/>
      <c r="K860" s="401"/>
    </row>
    <row r="861">
      <c r="A861" s="121"/>
      <c r="B861" s="399"/>
      <c r="D861" s="123"/>
      <c r="E861" s="123"/>
      <c r="F861" s="125"/>
      <c r="G861" s="125"/>
      <c r="I861" s="126"/>
      <c r="J861" s="402"/>
      <c r="K861" s="401"/>
    </row>
    <row r="862">
      <c r="A862" s="121"/>
      <c r="B862" s="399"/>
      <c r="D862" s="123"/>
      <c r="E862" s="123"/>
      <c r="F862" s="125"/>
      <c r="G862" s="125"/>
      <c r="I862" s="126"/>
      <c r="J862" s="402"/>
      <c r="K862" s="401"/>
    </row>
    <row r="863">
      <c r="A863" s="121"/>
      <c r="B863" s="399"/>
      <c r="D863" s="123"/>
      <c r="E863" s="123"/>
      <c r="F863" s="125"/>
      <c r="G863" s="125"/>
      <c r="I863" s="126"/>
      <c r="J863" s="402"/>
      <c r="K863" s="401"/>
    </row>
    <row r="864">
      <c r="A864" s="121"/>
      <c r="B864" s="399"/>
      <c r="D864" s="123"/>
      <c r="E864" s="123"/>
      <c r="F864" s="125"/>
      <c r="G864" s="125"/>
      <c r="I864" s="126"/>
      <c r="J864" s="402"/>
      <c r="K864" s="401"/>
    </row>
    <row r="865">
      <c r="A865" s="121"/>
      <c r="B865" s="399"/>
      <c r="D865" s="123"/>
      <c r="E865" s="123"/>
      <c r="F865" s="125"/>
      <c r="G865" s="125"/>
      <c r="I865" s="126"/>
      <c r="J865" s="402"/>
      <c r="K865" s="401"/>
    </row>
    <row r="866">
      <c r="A866" s="121"/>
      <c r="B866" s="399"/>
      <c r="D866" s="123"/>
      <c r="E866" s="123"/>
      <c r="F866" s="125"/>
      <c r="G866" s="125"/>
      <c r="I866" s="126"/>
      <c r="J866" s="402"/>
      <c r="K866" s="401"/>
    </row>
    <row r="867">
      <c r="A867" s="121"/>
      <c r="B867" s="399"/>
      <c r="D867" s="123"/>
      <c r="E867" s="123"/>
      <c r="F867" s="125"/>
      <c r="G867" s="125"/>
      <c r="I867" s="126"/>
      <c r="J867" s="402"/>
      <c r="K867" s="401"/>
    </row>
    <row r="868">
      <c r="A868" s="121"/>
      <c r="B868" s="399"/>
      <c r="D868" s="123"/>
      <c r="E868" s="123"/>
      <c r="F868" s="125"/>
      <c r="G868" s="125"/>
      <c r="I868" s="126"/>
      <c r="J868" s="402"/>
      <c r="K868" s="401"/>
    </row>
    <row r="869">
      <c r="A869" s="121"/>
      <c r="B869" s="399"/>
      <c r="D869" s="123"/>
      <c r="E869" s="123"/>
      <c r="F869" s="125"/>
      <c r="G869" s="125"/>
      <c r="I869" s="126"/>
      <c r="J869" s="402"/>
      <c r="K869" s="401"/>
    </row>
    <row r="870">
      <c r="A870" s="121"/>
      <c r="B870" s="399"/>
      <c r="D870" s="123"/>
      <c r="E870" s="123"/>
      <c r="F870" s="125"/>
      <c r="G870" s="125"/>
      <c r="I870" s="126"/>
      <c r="J870" s="402"/>
      <c r="K870" s="401"/>
    </row>
    <row r="871">
      <c r="A871" s="121"/>
      <c r="B871" s="399"/>
      <c r="D871" s="123"/>
      <c r="E871" s="123"/>
      <c r="F871" s="125"/>
      <c r="G871" s="125"/>
      <c r="I871" s="126"/>
      <c r="J871" s="402"/>
      <c r="K871" s="401"/>
    </row>
    <row r="872">
      <c r="A872" s="121"/>
      <c r="B872" s="399"/>
      <c r="D872" s="123"/>
      <c r="E872" s="123"/>
      <c r="F872" s="125"/>
      <c r="G872" s="125"/>
      <c r="I872" s="126"/>
      <c r="J872" s="402"/>
      <c r="K872" s="401"/>
    </row>
    <row r="873">
      <c r="A873" s="121"/>
      <c r="B873" s="399"/>
      <c r="D873" s="123"/>
      <c r="E873" s="123"/>
      <c r="F873" s="125"/>
      <c r="G873" s="125"/>
      <c r="I873" s="126"/>
      <c r="J873" s="402"/>
      <c r="K873" s="401"/>
    </row>
    <row r="874">
      <c r="A874" s="121"/>
      <c r="B874" s="399"/>
      <c r="D874" s="123"/>
      <c r="E874" s="123"/>
      <c r="F874" s="125"/>
      <c r="G874" s="125"/>
      <c r="I874" s="126"/>
      <c r="J874" s="402"/>
      <c r="K874" s="401"/>
    </row>
    <row r="875">
      <c r="A875" s="121"/>
      <c r="B875" s="399"/>
      <c r="D875" s="123"/>
      <c r="E875" s="123"/>
      <c r="F875" s="125"/>
      <c r="G875" s="125"/>
      <c r="I875" s="126"/>
      <c r="J875" s="402"/>
      <c r="K875" s="401"/>
    </row>
    <row r="876">
      <c r="A876" s="121"/>
      <c r="B876" s="399"/>
      <c r="D876" s="123"/>
      <c r="E876" s="123"/>
      <c r="F876" s="125"/>
      <c r="G876" s="125"/>
      <c r="I876" s="126"/>
      <c r="J876" s="402"/>
      <c r="K876" s="401"/>
    </row>
    <row r="877">
      <c r="A877" s="121"/>
      <c r="B877" s="399"/>
      <c r="D877" s="123"/>
      <c r="E877" s="123"/>
      <c r="F877" s="125"/>
      <c r="G877" s="125"/>
      <c r="I877" s="126"/>
      <c r="J877" s="402"/>
      <c r="K877" s="401"/>
    </row>
    <row r="878">
      <c r="A878" s="121"/>
      <c r="B878" s="399"/>
      <c r="D878" s="123"/>
      <c r="E878" s="123"/>
      <c r="F878" s="125"/>
      <c r="G878" s="125"/>
      <c r="I878" s="126"/>
      <c r="J878" s="402"/>
      <c r="K878" s="401"/>
    </row>
    <row r="879">
      <c r="A879" s="121"/>
      <c r="B879" s="399"/>
      <c r="D879" s="123"/>
      <c r="E879" s="123"/>
      <c r="F879" s="125"/>
      <c r="G879" s="125"/>
      <c r="I879" s="126"/>
      <c r="J879" s="402"/>
      <c r="K879" s="401"/>
    </row>
    <row r="880">
      <c r="A880" s="121"/>
      <c r="B880" s="399"/>
      <c r="D880" s="123"/>
      <c r="E880" s="123"/>
      <c r="F880" s="125"/>
      <c r="G880" s="125"/>
      <c r="I880" s="126"/>
      <c r="J880" s="402"/>
      <c r="K880" s="401"/>
    </row>
    <row r="881">
      <c r="A881" s="121"/>
      <c r="B881" s="399"/>
      <c r="D881" s="123"/>
      <c r="E881" s="123"/>
      <c r="F881" s="125"/>
      <c r="G881" s="125"/>
      <c r="I881" s="126"/>
      <c r="J881" s="402"/>
      <c r="K881" s="401"/>
    </row>
    <row r="882">
      <c r="A882" s="121"/>
      <c r="B882" s="399"/>
      <c r="D882" s="123"/>
      <c r="E882" s="123"/>
      <c r="F882" s="125"/>
      <c r="G882" s="125"/>
      <c r="I882" s="126"/>
      <c r="J882" s="402"/>
      <c r="K882" s="401"/>
    </row>
    <row r="883">
      <c r="A883" s="121"/>
      <c r="B883" s="399"/>
      <c r="D883" s="123"/>
      <c r="E883" s="123"/>
      <c r="F883" s="125"/>
      <c r="G883" s="125"/>
      <c r="I883" s="126"/>
      <c r="J883" s="402"/>
      <c r="K883" s="401"/>
    </row>
    <row r="884">
      <c r="A884" s="121"/>
      <c r="B884" s="399"/>
      <c r="D884" s="123"/>
      <c r="E884" s="123"/>
      <c r="F884" s="125"/>
      <c r="G884" s="125"/>
      <c r="I884" s="126"/>
      <c r="J884" s="402"/>
      <c r="K884" s="401"/>
    </row>
    <row r="885">
      <c r="A885" s="121"/>
      <c r="B885" s="399"/>
      <c r="D885" s="123"/>
      <c r="E885" s="123"/>
      <c r="F885" s="125"/>
      <c r="G885" s="125"/>
      <c r="I885" s="126"/>
      <c r="J885" s="402"/>
      <c r="K885" s="401"/>
    </row>
    <row r="886">
      <c r="A886" s="121"/>
      <c r="B886" s="399"/>
      <c r="D886" s="123"/>
      <c r="E886" s="123"/>
      <c r="F886" s="125"/>
      <c r="G886" s="125"/>
      <c r="I886" s="126"/>
      <c r="J886" s="402"/>
      <c r="K886" s="401"/>
    </row>
    <row r="887">
      <c r="A887" s="121"/>
      <c r="B887" s="399"/>
      <c r="D887" s="123"/>
      <c r="E887" s="123"/>
      <c r="F887" s="125"/>
      <c r="G887" s="125"/>
      <c r="I887" s="126"/>
      <c r="J887" s="402"/>
      <c r="K887" s="401"/>
    </row>
    <row r="888">
      <c r="A888" s="121"/>
      <c r="B888" s="399"/>
      <c r="D888" s="123"/>
      <c r="E888" s="123"/>
      <c r="F888" s="125"/>
      <c r="G888" s="125"/>
      <c r="I888" s="126"/>
      <c r="J888" s="402"/>
      <c r="K888" s="401"/>
    </row>
    <row r="889">
      <c r="A889" s="121"/>
      <c r="B889" s="399"/>
      <c r="D889" s="123"/>
      <c r="E889" s="123"/>
      <c r="F889" s="125"/>
      <c r="G889" s="125"/>
      <c r="I889" s="126"/>
      <c r="J889" s="402"/>
      <c r="K889" s="401"/>
    </row>
    <row r="890">
      <c r="A890" s="121"/>
      <c r="B890" s="399"/>
      <c r="D890" s="123"/>
      <c r="E890" s="123"/>
      <c r="F890" s="125"/>
      <c r="G890" s="125"/>
      <c r="I890" s="126"/>
      <c r="J890" s="402"/>
      <c r="K890" s="401"/>
    </row>
    <row r="891">
      <c r="A891" s="121"/>
      <c r="B891" s="399"/>
      <c r="D891" s="123"/>
      <c r="E891" s="123"/>
      <c r="F891" s="125"/>
      <c r="G891" s="125"/>
      <c r="I891" s="126"/>
      <c r="J891" s="402"/>
      <c r="K891" s="401"/>
    </row>
    <row r="892">
      <c r="A892" s="121"/>
      <c r="B892" s="399"/>
      <c r="D892" s="123"/>
      <c r="E892" s="123"/>
      <c r="F892" s="125"/>
      <c r="G892" s="125"/>
      <c r="I892" s="126"/>
      <c r="J892" s="402"/>
      <c r="K892" s="401"/>
    </row>
    <row r="893">
      <c r="A893" s="121"/>
      <c r="B893" s="399"/>
      <c r="D893" s="123"/>
      <c r="E893" s="123"/>
      <c r="F893" s="125"/>
      <c r="G893" s="125"/>
      <c r="I893" s="126"/>
      <c r="J893" s="402"/>
      <c r="K893" s="401"/>
    </row>
    <row r="894">
      <c r="A894" s="121"/>
      <c r="B894" s="399"/>
      <c r="D894" s="123"/>
      <c r="E894" s="123"/>
      <c r="F894" s="125"/>
      <c r="G894" s="125"/>
      <c r="I894" s="126"/>
      <c r="J894" s="402"/>
      <c r="K894" s="401"/>
    </row>
    <row r="895">
      <c r="A895" s="121"/>
      <c r="B895" s="399"/>
      <c r="D895" s="123"/>
      <c r="E895" s="123"/>
      <c r="F895" s="125"/>
      <c r="G895" s="125"/>
      <c r="I895" s="126"/>
      <c r="J895" s="402"/>
      <c r="K895" s="401"/>
    </row>
    <row r="896">
      <c r="A896" s="121"/>
      <c r="B896" s="399"/>
      <c r="D896" s="123"/>
      <c r="E896" s="123"/>
      <c r="F896" s="125"/>
      <c r="G896" s="125"/>
      <c r="I896" s="126"/>
      <c r="J896" s="402"/>
      <c r="K896" s="401"/>
    </row>
    <row r="897">
      <c r="A897" s="121"/>
      <c r="B897" s="399"/>
      <c r="D897" s="123"/>
      <c r="E897" s="123"/>
      <c r="F897" s="125"/>
      <c r="G897" s="125"/>
      <c r="I897" s="126"/>
      <c r="J897" s="402"/>
      <c r="K897" s="401"/>
    </row>
    <row r="898">
      <c r="A898" s="121"/>
      <c r="B898" s="399"/>
      <c r="D898" s="123"/>
      <c r="E898" s="123"/>
      <c r="F898" s="125"/>
      <c r="G898" s="125"/>
      <c r="I898" s="126"/>
      <c r="J898" s="402"/>
      <c r="K898" s="401"/>
    </row>
    <row r="899">
      <c r="A899" s="121"/>
      <c r="B899" s="399"/>
      <c r="D899" s="123"/>
      <c r="E899" s="123"/>
      <c r="F899" s="125"/>
      <c r="G899" s="125"/>
      <c r="I899" s="126"/>
      <c r="J899" s="402"/>
      <c r="K899" s="401"/>
    </row>
    <row r="900">
      <c r="A900" s="121"/>
      <c r="B900" s="399"/>
      <c r="D900" s="123"/>
      <c r="E900" s="123"/>
      <c r="F900" s="125"/>
      <c r="G900" s="125"/>
      <c r="I900" s="126"/>
      <c r="J900" s="402"/>
      <c r="K900" s="401"/>
    </row>
    <row r="901">
      <c r="A901" s="121"/>
      <c r="B901" s="399"/>
      <c r="D901" s="123"/>
      <c r="E901" s="123"/>
      <c r="F901" s="125"/>
      <c r="G901" s="125"/>
      <c r="I901" s="126"/>
      <c r="J901" s="402"/>
      <c r="K901" s="401"/>
    </row>
    <row r="902">
      <c r="A902" s="121"/>
      <c r="B902" s="399"/>
      <c r="D902" s="123"/>
      <c r="E902" s="123"/>
      <c r="F902" s="125"/>
      <c r="G902" s="125"/>
      <c r="I902" s="126"/>
      <c r="J902" s="402"/>
      <c r="K902" s="401"/>
    </row>
    <row r="903">
      <c r="A903" s="121"/>
      <c r="B903" s="399"/>
      <c r="D903" s="123"/>
      <c r="E903" s="123"/>
      <c r="F903" s="125"/>
      <c r="G903" s="125"/>
      <c r="I903" s="126"/>
      <c r="J903" s="402"/>
      <c r="K903" s="401"/>
    </row>
    <row r="904">
      <c r="A904" s="121"/>
      <c r="B904" s="399"/>
      <c r="D904" s="123"/>
      <c r="E904" s="123"/>
      <c r="F904" s="125"/>
      <c r="G904" s="125"/>
      <c r="I904" s="126"/>
      <c r="J904" s="402"/>
      <c r="K904" s="401"/>
    </row>
    <row r="905">
      <c r="A905" s="121"/>
      <c r="B905" s="399"/>
      <c r="D905" s="123"/>
      <c r="E905" s="123"/>
      <c r="F905" s="125"/>
      <c r="G905" s="125"/>
      <c r="I905" s="126"/>
      <c r="J905" s="402"/>
      <c r="K905" s="401"/>
    </row>
    <row r="906">
      <c r="A906" s="121"/>
      <c r="B906" s="399"/>
      <c r="D906" s="123"/>
      <c r="E906" s="123"/>
      <c r="F906" s="125"/>
      <c r="G906" s="125"/>
      <c r="I906" s="126"/>
      <c r="J906" s="402"/>
      <c r="K906" s="401"/>
    </row>
    <row r="907">
      <c r="A907" s="121"/>
      <c r="B907" s="399"/>
      <c r="D907" s="123"/>
      <c r="E907" s="123"/>
      <c r="F907" s="125"/>
      <c r="G907" s="125"/>
      <c r="I907" s="126"/>
      <c r="J907" s="402"/>
      <c r="K907" s="401"/>
    </row>
    <row r="908">
      <c r="A908" s="121"/>
      <c r="B908" s="399"/>
      <c r="D908" s="123"/>
      <c r="E908" s="123"/>
      <c r="F908" s="125"/>
      <c r="G908" s="125"/>
      <c r="I908" s="126"/>
      <c r="J908" s="402"/>
      <c r="K908" s="401"/>
    </row>
    <row r="909">
      <c r="A909" s="121"/>
      <c r="B909" s="399"/>
      <c r="D909" s="123"/>
      <c r="E909" s="123"/>
      <c r="F909" s="125"/>
      <c r="G909" s="125"/>
      <c r="I909" s="126"/>
      <c r="J909" s="402"/>
      <c r="K909" s="401"/>
    </row>
    <row r="910">
      <c r="A910" s="121"/>
      <c r="B910" s="399"/>
      <c r="D910" s="123"/>
      <c r="E910" s="123"/>
      <c r="F910" s="125"/>
      <c r="G910" s="125"/>
      <c r="I910" s="126"/>
      <c r="J910" s="402"/>
      <c r="K910" s="401"/>
    </row>
    <row r="911">
      <c r="A911" s="121"/>
      <c r="B911" s="399"/>
      <c r="D911" s="123"/>
      <c r="E911" s="123"/>
      <c r="F911" s="125"/>
      <c r="G911" s="125"/>
      <c r="I911" s="126"/>
      <c r="J911" s="402"/>
      <c r="K911" s="401"/>
    </row>
    <row r="912">
      <c r="A912" s="121"/>
      <c r="B912" s="399"/>
      <c r="D912" s="123"/>
      <c r="E912" s="123"/>
      <c r="F912" s="125"/>
      <c r="G912" s="125"/>
      <c r="I912" s="126"/>
      <c r="J912" s="402"/>
      <c r="K912" s="401"/>
    </row>
    <row r="913">
      <c r="A913" s="121"/>
      <c r="B913" s="399"/>
      <c r="D913" s="123"/>
      <c r="E913" s="123"/>
      <c r="F913" s="125"/>
      <c r="G913" s="125"/>
      <c r="I913" s="126"/>
      <c r="J913" s="402"/>
      <c r="K913" s="401"/>
    </row>
    <row r="914">
      <c r="A914" s="121"/>
      <c r="B914" s="399"/>
      <c r="D914" s="123"/>
      <c r="E914" s="123"/>
      <c r="F914" s="125"/>
      <c r="G914" s="125"/>
      <c r="I914" s="126"/>
      <c r="J914" s="402"/>
      <c r="K914" s="401"/>
    </row>
    <row r="915">
      <c r="A915" s="121"/>
      <c r="B915" s="399"/>
      <c r="D915" s="123"/>
      <c r="E915" s="123"/>
      <c r="F915" s="125"/>
      <c r="G915" s="125"/>
      <c r="I915" s="126"/>
      <c r="J915" s="402"/>
      <c r="K915" s="401"/>
    </row>
    <row r="916">
      <c r="A916" s="121"/>
      <c r="B916" s="399"/>
      <c r="D916" s="123"/>
      <c r="E916" s="123"/>
      <c r="F916" s="125"/>
      <c r="G916" s="125"/>
      <c r="I916" s="126"/>
      <c r="J916" s="402"/>
      <c r="K916" s="401"/>
    </row>
    <row r="917">
      <c r="A917" s="121"/>
      <c r="B917" s="399"/>
      <c r="D917" s="123"/>
      <c r="E917" s="123"/>
      <c r="F917" s="125"/>
      <c r="G917" s="125"/>
      <c r="I917" s="126"/>
      <c r="J917" s="402"/>
      <c r="K917" s="401"/>
    </row>
    <row r="918">
      <c r="A918" s="121"/>
      <c r="B918" s="399"/>
      <c r="D918" s="123"/>
      <c r="E918" s="123"/>
      <c r="F918" s="125"/>
      <c r="G918" s="125"/>
      <c r="I918" s="126"/>
      <c r="J918" s="402"/>
      <c r="K918" s="401"/>
    </row>
    <row r="919">
      <c r="A919" s="121"/>
      <c r="B919" s="399"/>
      <c r="D919" s="123"/>
      <c r="E919" s="123"/>
      <c r="F919" s="125"/>
      <c r="G919" s="125"/>
      <c r="I919" s="126"/>
      <c r="J919" s="402"/>
      <c r="K919" s="401"/>
    </row>
    <row r="920">
      <c r="A920" s="121"/>
      <c r="B920" s="399"/>
      <c r="D920" s="123"/>
      <c r="E920" s="123"/>
      <c r="F920" s="125"/>
      <c r="G920" s="125"/>
      <c r="I920" s="126"/>
      <c r="J920" s="402"/>
      <c r="K920" s="401"/>
    </row>
    <row r="921">
      <c r="A921" s="121"/>
      <c r="B921" s="399"/>
      <c r="D921" s="123"/>
      <c r="E921" s="123"/>
      <c r="F921" s="125"/>
      <c r="G921" s="125"/>
      <c r="I921" s="126"/>
      <c r="J921" s="402"/>
      <c r="K921" s="401"/>
    </row>
    <row r="922">
      <c r="A922" s="121"/>
      <c r="B922" s="399"/>
      <c r="D922" s="123"/>
      <c r="E922" s="123"/>
      <c r="F922" s="125"/>
      <c r="G922" s="125"/>
      <c r="I922" s="126"/>
      <c r="J922" s="402"/>
      <c r="K922" s="401"/>
    </row>
    <row r="923">
      <c r="A923" s="121"/>
      <c r="B923" s="399"/>
      <c r="D923" s="123"/>
      <c r="E923" s="123"/>
      <c r="F923" s="125"/>
      <c r="G923" s="125"/>
      <c r="I923" s="126"/>
      <c r="J923" s="402"/>
      <c r="K923" s="401"/>
    </row>
    <row r="924">
      <c r="A924" s="121"/>
      <c r="B924" s="399"/>
      <c r="D924" s="123"/>
      <c r="E924" s="123"/>
      <c r="F924" s="125"/>
      <c r="G924" s="125"/>
      <c r="I924" s="126"/>
      <c r="J924" s="402"/>
      <c r="K924" s="401"/>
    </row>
    <row r="925">
      <c r="A925" s="121"/>
      <c r="B925" s="399"/>
      <c r="D925" s="123"/>
      <c r="E925" s="123"/>
      <c r="F925" s="125"/>
      <c r="G925" s="125"/>
      <c r="I925" s="126"/>
      <c r="J925" s="402"/>
      <c r="K925" s="401"/>
    </row>
    <row r="926">
      <c r="A926" s="121"/>
      <c r="B926" s="399"/>
      <c r="D926" s="123"/>
      <c r="E926" s="123"/>
      <c r="F926" s="125"/>
      <c r="G926" s="125"/>
      <c r="I926" s="126"/>
      <c r="J926" s="402"/>
      <c r="K926" s="401"/>
    </row>
    <row r="927">
      <c r="A927" s="121"/>
      <c r="B927" s="399"/>
      <c r="D927" s="123"/>
      <c r="E927" s="123"/>
      <c r="F927" s="125"/>
      <c r="G927" s="125"/>
      <c r="I927" s="126"/>
      <c r="J927" s="402"/>
      <c r="K927" s="401"/>
    </row>
    <row r="928">
      <c r="A928" s="121"/>
      <c r="B928" s="399"/>
      <c r="D928" s="123"/>
      <c r="E928" s="123"/>
      <c r="F928" s="125"/>
      <c r="G928" s="125"/>
      <c r="I928" s="126"/>
      <c r="J928" s="402"/>
      <c r="K928" s="401"/>
    </row>
    <row r="929">
      <c r="A929" s="121"/>
      <c r="B929" s="399"/>
      <c r="D929" s="123"/>
      <c r="E929" s="123"/>
      <c r="F929" s="125"/>
      <c r="G929" s="125"/>
      <c r="I929" s="126"/>
      <c r="J929" s="402"/>
      <c r="K929" s="401"/>
    </row>
    <row r="930">
      <c r="A930" s="121"/>
      <c r="B930" s="399"/>
      <c r="D930" s="123"/>
      <c r="E930" s="123"/>
      <c r="F930" s="125"/>
      <c r="G930" s="125"/>
      <c r="I930" s="126"/>
      <c r="J930" s="402"/>
      <c r="K930" s="401"/>
    </row>
    <row r="931">
      <c r="A931" s="121"/>
      <c r="B931" s="399"/>
      <c r="D931" s="123"/>
      <c r="E931" s="123"/>
      <c r="F931" s="125"/>
      <c r="G931" s="125"/>
      <c r="I931" s="126"/>
      <c r="J931" s="402"/>
      <c r="K931" s="401"/>
    </row>
    <row r="932">
      <c r="A932" s="121"/>
      <c r="B932" s="399"/>
      <c r="D932" s="123"/>
      <c r="E932" s="123"/>
      <c r="F932" s="125"/>
      <c r="G932" s="125"/>
      <c r="I932" s="126"/>
      <c r="J932" s="402"/>
      <c r="K932" s="401"/>
    </row>
    <row r="933">
      <c r="A933" s="121"/>
      <c r="B933" s="399"/>
      <c r="D933" s="123"/>
      <c r="E933" s="123"/>
      <c r="F933" s="125"/>
      <c r="G933" s="125"/>
      <c r="I933" s="126"/>
      <c r="J933" s="402"/>
      <c r="K933" s="401"/>
    </row>
    <row r="934">
      <c r="A934" s="121"/>
      <c r="B934" s="399"/>
      <c r="D934" s="123"/>
      <c r="E934" s="123"/>
      <c r="F934" s="125"/>
      <c r="G934" s="125"/>
      <c r="I934" s="126"/>
      <c r="J934" s="402"/>
      <c r="K934" s="401"/>
    </row>
    <row r="935">
      <c r="A935" s="121"/>
      <c r="B935" s="399"/>
      <c r="D935" s="123"/>
      <c r="E935" s="123"/>
      <c r="F935" s="125"/>
      <c r="G935" s="125"/>
      <c r="I935" s="126"/>
      <c r="J935" s="402"/>
      <c r="K935" s="401"/>
    </row>
    <row r="936">
      <c r="A936" s="121"/>
      <c r="B936" s="399"/>
      <c r="D936" s="123"/>
      <c r="E936" s="123"/>
      <c r="F936" s="125"/>
      <c r="G936" s="125"/>
      <c r="I936" s="126"/>
      <c r="J936" s="402"/>
      <c r="K936" s="401"/>
    </row>
    <row r="937">
      <c r="A937" s="121"/>
      <c r="B937" s="399"/>
      <c r="D937" s="123"/>
      <c r="E937" s="123"/>
      <c r="F937" s="125"/>
      <c r="G937" s="125"/>
      <c r="I937" s="126"/>
      <c r="J937" s="402"/>
      <c r="K937" s="401"/>
    </row>
    <row r="938">
      <c r="A938" s="121"/>
      <c r="B938" s="399"/>
      <c r="D938" s="123"/>
      <c r="E938" s="123"/>
      <c r="F938" s="125"/>
      <c r="G938" s="125"/>
      <c r="I938" s="126"/>
      <c r="J938" s="402"/>
      <c r="K938" s="401"/>
    </row>
    <row r="939">
      <c r="A939" s="121"/>
      <c r="B939" s="399"/>
      <c r="D939" s="123"/>
      <c r="E939" s="123"/>
      <c r="F939" s="125"/>
      <c r="G939" s="125"/>
      <c r="I939" s="126"/>
      <c r="J939" s="402"/>
      <c r="K939" s="401"/>
    </row>
    <row r="940">
      <c r="A940" s="121"/>
      <c r="B940" s="399"/>
      <c r="D940" s="123"/>
      <c r="E940" s="123"/>
      <c r="F940" s="125"/>
      <c r="G940" s="125"/>
      <c r="I940" s="126"/>
      <c r="J940" s="402"/>
      <c r="K940" s="401"/>
    </row>
    <row r="941">
      <c r="A941" s="121"/>
      <c r="B941" s="399"/>
      <c r="D941" s="123"/>
      <c r="E941" s="123"/>
      <c r="F941" s="125"/>
      <c r="G941" s="125"/>
      <c r="I941" s="126"/>
      <c r="J941" s="402"/>
      <c r="K941" s="401"/>
    </row>
    <row r="942">
      <c r="A942" s="121"/>
      <c r="B942" s="399"/>
      <c r="D942" s="123"/>
      <c r="E942" s="123"/>
      <c r="F942" s="125"/>
      <c r="G942" s="125"/>
      <c r="I942" s="126"/>
      <c r="J942" s="402"/>
      <c r="K942" s="401"/>
    </row>
    <row r="943">
      <c r="A943" s="121"/>
      <c r="B943" s="399"/>
      <c r="D943" s="123"/>
      <c r="E943" s="123"/>
      <c r="F943" s="125"/>
      <c r="G943" s="125"/>
      <c r="I943" s="126"/>
      <c r="J943" s="402"/>
      <c r="K943" s="401"/>
    </row>
    <row r="944">
      <c r="A944" s="121"/>
      <c r="B944" s="399"/>
      <c r="D944" s="123"/>
      <c r="E944" s="123"/>
      <c r="F944" s="125"/>
      <c r="G944" s="125"/>
      <c r="I944" s="126"/>
      <c r="J944" s="402"/>
      <c r="K944" s="401"/>
    </row>
    <row r="945">
      <c r="A945" s="121"/>
      <c r="B945" s="399"/>
      <c r="D945" s="123"/>
      <c r="E945" s="123"/>
      <c r="F945" s="125"/>
      <c r="G945" s="125"/>
      <c r="I945" s="126"/>
      <c r="J945" s="402"/>
      <c r="K945" s="401"/>
    </row>
    <row r="946">
      <c r="A946" s="121"/>
      <c r="B946" s="399"/>
      <c r="D946" s="123"/>
      <c r="E946" s="123"/>
      <c r="F946" s="125"/>
      <c r="G946" s="125"/>
      <c r="I946" s="126"/>
      <c r="J946" s="402"/>
      <c r="K946" s="401"/>
    </row>
    <row r="947">
      <c r="A947" s="121"/>
      <c r="B947" s="399"/>
      <c r="D947" s="123"/>
      <c r="E947" s="123"/>
      <c r="F947" s="125"/>
      <c r="G947" s="125"/>
      <c r="I947" s="126"/>
      <c r="J947" s="402"/>
      <c r="K947" s="401"/>
    </row>
    <row r="948">
      <c r="A948" s="121"/>
      <c r="B948" s="399"/>
      <c r="D948" s="123"/>
      <c r="E948" s="123"/>
      <c r="F948" s="125"/>
      <c r="G948" s="125"/>
      <c r="I948" s="126"/>
      <c r="J948" s="402"/>
      <c r="K948" s="401"/>
    </row>
    <row r="949">
      <c r="A949" s="121"/>
      <c r="B949" s="399"/>
      <c r="D949" s="123"/>
      <c r="E949" s="123"/>
      <c r="F949" s="125"/>
      <c r="G949" s="125"/>
      <c r="I949" s="126"/>
      <c r="J949" s="402"/>
      <c r="K949" s="401"/>
    </row>
    <row r="950">
      <c r="A950" s="121"/>
      <c r="B950" s="399"/>
      <c r="D950" s="123"/>
      <c r="E950" s="123"/>
      <c r="F950" s="125"/>
      <c r="G950" s="125"/>
      <c r="I950" s="126"/>
      <c r="J950" s="402"/>
      <c r="K950" s="401"/>
    </row>
    <row r="951">
      <c r="A951" s="121"/>
      <c r="B951" s="399"/>
      <c r="D951" s="123"/>
      <c r="E951" s="123"/>
      <c r="F951" s="125"/>
      <c r="G951" s="125"/>
      <c r="I951" s="126"/>
      <c r="J951" s="402"/>
      <c r="K951" s="401"/>
    </row>
    <row r="952">
      <c r="A952" s="121"/>
      <c r="B952" s="399"/>
      <c r="D952" s="123"/>
      <c r="E952" s="123"/>
      <c r="F952" s="125"/>
      <c r="G952" s="125"/>
      <c r="I952" s="126"/>
      <c r="J952" s="402"/>
      <c r="K952" s="401"/>
    </row>
    <row r="953">
      <c r="A953" s="121"/>
      <c r="B953" s="399"/>
      <c r="D953" s="123"/>
      <c r="E953" s="123"/>
      <c r="F953" s="125"/>
      <c r="G953" s="125"/>
      <c r="I953" s="126"/>
      <c r="J953" s="402"/>
      <c r="K953" s="401"/>
    </row>
    <row r="954">
      <c r="A954" s="121"/>
      <c r="B954" s="399"/>
      <c r="D954" s="123"/>
      <c r="E954" s="123"/>
      <c r="F954" s="125"/>
      <c r="G954" s="125"/>
      <c r="I954" s="126"/>
      <c r="J954" s="402"/>
      <c r="K954" s="401"/>
    </row>
    <row r="955">
      <c r="A955" s="121"/>
      <c r="B955" s="399"/>
      <c r="D955" s="123"/>
      <c r="E955" s="123"/>
      <c r="F955" s="125"/>
      <c r="G955" s="125"/>
      <c r="I955" s="126"/>
      <c r="J955" s="402"/>
      <c r="K955" s="401"/>
    </row>
    <row r="956">
      <c r="A956" s="121"/>
      <c r="B956" s="399"/>
      <c r="D956" s="123"/>
      <c r="E956" s="123"/>
      <c r="F956" s="125"/>
      <c r="G956" s="125"/>
      <c r="I956" s="126"/>
      <c r="J956" s="402"/>
      <c r="K956" s="401"/>
    </row>
    <row r="957">
      <c r="A957" s="121"/>
      <c r="B957" s="399"/>
      <c r="D957" s="123"/>
      <c r="E957" s="123"/>
      <c r="F957" s="125"/>
      <c r="G957" s="125"/>
      <c r="I957" s="126"/>
      <c r="J957" s="402"/>
      <c r="K957" s="401"/>
    </row>
    <row r="958">
      <c r="A958" s="121"/>
      <c r="B958" s="399"/>
      <c r="D958" s="123"/>
      <c r="E958" s="123"/>
      <c r="F958" s="125"/>
      <c r="G958" s="125"/>
      <c r="I958" s="126"/>
      <c r="J958" s="402"/>
      <c r="K958" s="401"/>
    </row>
    <row r="959">
      <c r="A959" s="121"/>
      <c r="B959" s="399"/>
      <c r="D959" s="123"/>
      <c r="E959" s="123"/>
      <c r="F959" s="125"/>
      <c r="G959" s="125"/>
      <c r="I959" s="126"/>
      <c r="J959" s="402"/>
      <c r="K959" s="401"/>
    </row>
    <row r="960">
      <c r="A960" s="121"/>
      <c r="B960" s="399"/>
      <c r="D960" s="123"/>
      <c r="E960" s="123"/>
      <c r="F960" s="125"/>
      <c r="G960" s="125"/>
      <c r="I960" s="126"/>
      <c r="J960" s="402"/>
      <c r="K960" s="401"/>
    </row>
    <row r="961">
      <c r="A961" s="121"/>
      <c r="B961" s="399"/>
      <c r="D961" s="123"/>
      <c r="E961" s="123"/>
      <c r="F961" s="125"/>
      <c r="G961" s="125"/>
      <c r="I961" s="126"/>
      <c r="J961" s="402"/>
      <c r="K961" s="401"/>
    </row>
    <row r="962">
      <c r="A962" s="121"/>
      <c r="B962" s="399"/>
      <c r="D962" s="123"/>
      <c r="E962" s="123"/>
      <c r="F962" s="125"/>
      <c r="G962" s="125"/>
      <c r="I962" s="126"/>
      <c r="J962" s="402"/>
      <c r="K962" s="401"/>
    </row>
    <row r="963">
      <c r="A963" s="121"/>
      <c r="B963" s="399"/>
      <c r="D963" s="123"/>
      <c r="E963" s="123"/>
      <c r="F963" s="125"/>
      <c r="G963" s="125"/>
      <c r="I963" s="126"/>
      <c r="J963" s="402"/>
      <c r="K963" s="401"/>
    </row>
    <row r="964">
      <c r="A964" s="121"/>
      <c r="B964" s="399"/>
      <c r="D964" s="123"/>
      <c r="E964" s="123"/>
      <c r="F964" s="125"/>
      <c r="G964" s="125"/>
      <c r="I964" s="126"/>
      <c r="J964" s="402"/>
      <c r="K964" s="401"/>
    </row>
    <row r="965">
      <c r="A965" s="121"/>
      <c r="B965" s="399"/>
      <c r="D965" s="123"/>
      <c r="E965" s="123"/>
      <c r="F965" s="125"/>
      <c r="G965" s="125"/>
      <c r="I965" s="126"/>
      <c r="J965" s="402"/>
      <c r="K965" s="401"/>
    </row>
    <row r="966">
      <c r="A966" s="121"/>
      <c r="B966" s="399"/>
      <c r="D966" s="123"/>
      <c r="E966" s="123"/>
      <c r="F966" s="125"/>
      <c r="G966" s="125"/>
      <c r="I966" s="126"/>
      <c r="J966" s="402"/>
      <c r="K966" s="401"/>
    </row>
    <row r="967">
      <c r="A967" s="121"/>
      <c r="B967" s="399"/>
      <c r="D967" s="123"/>
      <c r="E967" s="123"/>
      <c r="F967" s="125"/>
      <c r="G967" s="125"/>
      <c r="I967" s="126"/>
      <c r="J967" s="402"/>
      <c r="K967" s="401"/>
    </row>
    <row r="968">
      <c r="A968" s="121"/>
      <c r="B968" s="399"/>
      <c r="D968" s="123"/>
      <c r="E968" s="123"/>
      <c r="F968" s="125"/>
      <c r="G968" s="125"/>
      <c r="I968" s="126"/>
      <c r="J968" s="402"/>
      <c r="K968" s="401"/>
    </row>
    <row r="969">
      <c r="A969" s="121"/>
      <c r="B969" s="399"/>
      <c r="D969" s="123"/>
      <c r="E969" s="123"/>
      <c r="F969" s="125"/>
      <c r="G969" s="125"/>
      <c r="I969" s="126"/>
      <c r="J969" s="402"/>
      <c r="K969" s="401"/>
    </row>
    <row r="970">
      <c r="A970" s="121"/>
      <c r="B970" s="399"/>
      <c r="D970" s="123"/>
      <c r="E970" s="123"/>
      <c r="F970" s="125"/>
      <c r="G970" s="125"/>
      <c r="I970" s="126"/>
      <c r="J970" s="402"/>
      <c r="K970" s="401"/>
    </row>
    <row r="971">
      <c r="A971" s="121"/>
      <c r="B971" s="399"/>
      <c r="D971" s="123"/>
      <c r="E971" s="123"/>
      <c r="F971" s="125"/>
      <c r="G971" s="125"/>
      <c r="I971" s="126"/>
      <c r="J971" s="402"/>
      <c r="K971" s="401"/>
    </row>
    <row r="972">
      <c r="A972" s="121"/>
      <c r="B972" s="399"/>
      <c r="D972" s="123"/>
      <c r="E972" s="123"/>
      <c r="F972" s="125"/>
      <c r="G972" s="125"/>
      <c r="I972" s="126"/>
      <c r="J972" s="402"/>
      <c r="K972" s="401"/>
    </row>
    <row r="973">
      <c r="A973" s="121"/>
      <c r="B973" s="399"/>
      <c r="D973" s="123"/>
      <c r="E973" s="123"/>
      <c r="F973" s="125"/>
      <c r="G973" s="125"/>
      <c r="I973" s="126"/>
      <c r="J973" s="402"/>
      <c r="K973" s="401"/>
    </row>
    <row r="974">
      <c r="A974" s="121"/>
      <c r="B974" s="399"/>
      <c r="D974" s="123"/>
      <c r="E974" s="123"/>
      <c r="F974" s="125"/>
      <c r="G974" s="125"/>
      <c r="I974" s="126"/>
      <c r="J974" s="402"/>
      <c r="K974" s="401"/>
    </row>
    <row r="975">
      <c r="A975" s="121"/>
      <c r="B975" s="399"/>
      <c r="D975" s="123"/>
      <c r="E975" s="123"/>
      <c r="F975" s="125"/>
      <c r="G975" s="125"/>
      <c r="I975" s="126"/>
      <c r="J975" s="402"/>
      <c r="K975" s="401"/>
    </row>
    <row r="976">
      <c r="A976" s="121"/>
      <c r="B976" s="399"/>
      <c r="D976" s="123"/>
      <c r="E976" s="123"/>
      <c r="F976" s="125"/>
      <c r="G976" s="125"/>
      <c r="I976" s="126"/>
      <c r="J976" s="402"/>
      <c r="K976" s="401"/>
    </row>
    <row r="977">
      <c r="A977" s="121"/>
      <c r="B977" s="399"/>
      <c r="D977" s="123"/>
      <c r="E977" s="123"/>
      <c r="F977" s="125"/>
      <c r="G977" s="125"/>
      <c r="I977" s="126"/>
      <c r="J977" s="402"/>
      <c r="K977" s="401"/>
    </row>
    <row r="978">
      <c r="A978" s="121"/>
      <c r="B978" s="399"/>
      <c r="D978" s="123"/>
      <c r="E978" s="123"/>
      <c r="F978" s="125"/>
      <c r="G978" s="125"/>
      <c r="I978" s="126"/>
      <c r="J978" s="402"/>
      <c r="K978" s="401"/>
    </row>
    <row r="979">
      <c r="A979" s="121"/>
      <c r="B979" s="399"/>
      <c r="D979" s="123"/>
      <c r="E979" s="123"/>
      <c r="F979" s="125"/>
      <c r="G979" s="125"/>
      <c r="I979" s="126"/>
      <c r="J979" s="402"/>
      <c r="K979" s="401"/>
    </row>
    <row r="980">
      <c r="A980" s="121"/>
      <c r="B980" s="399"/>
      <c r="D980" s="123"/>
      <c r="E980" s="123"/>
      <c r="F980" s="125"/>
      <c r="G980" s="125"/>
      <c r="I980" s="126"/>
      <c r="J980" s="402"/>
      <c r="K980" s="401"/>
    </row>
    <row r="981">
      <c r="A981" s="121"/>
      <c r="B981" s="399"/>
      <c r="D981" s="123"/>
      <c r="E981" s="123"/>
      <c r="F981" s="125"/>
      <c r="G981" s="125"/>
      <c r="I981" s="126"/>
      <c r="J981" s="402"/>
      <c r="K981" s="401"/>
    </row>
    <row r="982">
      <c r="A982" s="121"/>
      <c r="B982" s="399"/>
      <c r="D982" s="123"/>
      <c r="E982" s="123"/>
      <c r="F982" s="125"/>
      <c r="G982" s="125"/>
      <c r="I982" s="126"/>
      <c r="J982" s="402"/>
      <c r="K982" s="401"/>
    </row>
    <row r="983">
      <c r="A983" s="121"/>
      <c r="B983" s="399"/>
      <c r="D983" s="123"/>
      <c r="E983" s="123"/>
      <c r="F983" s="125"/>
      <c r="G983" s="125"/>
      <c r="I983" s="126"/>
      <c r="J983" s="402"/>
      <c r="K983" s="401"/>
    </row>
    <row r="984">
      <c r="A984" s="121"/>
      <c r="B984" s="399"/>
      <c r="D984" s="123"/>
      <c r="E984" s="123"/>
      <c r="F984" s="125"/>
      <c r="G984" s="125"/>
      <c r="I984" s="126"/>
      <c r="J984" s="402"/>
      <c r="K984" s="401"/>
    </row>
    <row r="985">
      <c r="A985" s="121"/>
      <c r="B985" s="399"/>
      <c r="D985" s="123"/>
      <c r="E985" s="123"/>
      <c r="F985" s="125"/>
      <c r="G985" s="125"/>
      <c r="I985" s="126"/>
      <c r="J985" s="402"/>
      <c r="K985" s="401"/>
    </row>
    <row r="986">
      <c r="A986" s="121"/>
      <c r="B986" s="399"/>
      <c r="D986" s="123"/>
      <c r="E986" s="123"/>
      <c r="F986" s="125"/>
      <c r="G986" s="125"/>
      <c r="I986" s="126"/>
      <c r="J986" s="402"/>
      <c r="K986" s="401"/>
    </row>
    <row r="987">
      <c r="A987" s="121"/>
      <c r="B987" s="399"/>
      <c r="D987" s="123"/>
      <c r="E987" s="123"/>
      <c r="F987" s="125"/>
      <c r="G987" s="125"/>
      <c r="I987" s="126"/>
      <c r="J987" s="402"/>
      <c r="K987" s="401"/>
    </row>
    <row r="988">
      <c r="A988" s="121"/>
      <c r="B988" s="399"/>
      <c r="D988" s="123"/>
      <c r="E988" s="123"/>
      <c r="F988" s="125"/>
      <c r="G988" s="125"/>
      <c r="I988" s="126"/>
      <c r="J988" s="402"/>
      <c r="K988" s="401"/>
    </row>
    <row r="989">
      <c r="A989" s="121"/>
      <c r="B989" s="399"/>
      <c r="D989" s="123"/>
      <c r="E989" s="123"/>
      <c r="F989" s="125"/>
      <c r="G989" s="125"/>
      <c r="I989" s="126"/>
      <c r="J989" s="402"/>
      <c r="K989" s="401"/>
    </row>
    <row r="990">
      <c r="A990" s="121"/>
      <c r="B990" s="399"/>
      <c r="D990" s="123"/>
      <c r="E990" s="123"/>
      <c r="F990" s="125"/>
      <c r="G990" s="125"/>
      <c r="I990" s="126"/>
      <c r="J990" s="402"/>
      <c r="K990" s="401"/>
    </row>
    <row r="991">
      <c r="A991" s="121"/>
      <c r="B991" s="399"/>
      <c r="D991" s="123"/>
      <c r="E991" s="123"/>
      <c r="F991" s="125"/>
      <c r="G991" s="125"/>
      <c r="I991" s="126"/>
      <c r="J991" s="402"/>
      <c r="K991" s="401"/>
    </row>
    <row r="992">
      <c r="A992" s="121"/>
      <c r="B992" s="399"/>
      <c r="D992" s="123"/>
      <c r="E992" s="123"/>
      <c r="F992" s="125"/>
      <c r="G992" s="125"/>
      <c r="I992" s="126"/>
      <c r="J992" s="402"/>
      <c r="K992" s="401"/>
    </row>
    <row r="993">
      <c r="A993" s="121"/>
      <c r="B993" s="399"/>
      <c r="D993" s="123"/>
      <c r="E993" s="123"/>
      <c r="F993" s="125"/>
      <c r="G993" s="125"/>
      <c r="I993" s="126"/>
      <c r="J993" s="402"/>
      <c r="K993" s="401"/>
    </row>
    <row r="994">
      <c r="A994" s="121"/>
      <c r="B994" s="399"/>
      <c r="D994" s="123"/>
      <c r="E994" s="123"/>
      <c r="F994" s="125"/>
      <c r="G994" s="125"/>
      <c r="I994" s="126"/>
      <c r="J994" s="402"/>
      <c r="K994" s="401"/>
    </row>
    <row r="995">
      <c r="A995" s="121"/>
      <c r="B995" s="399"/>
      <c r="D995" s="123"/>
      <c r="E995" s="123"/>
      <c r="F995" s="125"/>
      <c r="G995" s="125"/>
      <c r="I995" s="126"/>
      <c r="J995" s="402"/>
      <c r="K995" s="401"/>
    </row>
    <row r="996">
      <c r="A996" s="121"/>
      <c r="B996" s="399"/>
      <c r="D996" s="123"/>
      <c r="E996" s="123"/>
      <c r="F996" s="125"/>
      <c r="G996" s="125"/>
      <c r="I996" s="126"/>
      <c r="J996" s="402"/>
      <c r="K996" s="401"/>
    </row>
    <row r="997">
      <c r="A997" s="121"/>
      <c r="B997" s="399"/>
      <c r="D997" s="123"/>
      <c r="E997" s="123"/>
      <c r="F997" s="125"/>
      <c r="G997" s="125"/>
      <c r="I997" s="126"/>
      <c r="J997" s="402"/>
      <c r="K997" s="401"/>
    </row>
    <row r="998">
      <c r="A998" s="121"/>
      <c r="B998" s="399"/>
      <c r="D998" s="123"/>
      <c r="E998" s="123"/>
      <c r="F998" s="125"/>
      <c r="G998" s="125"/>
      <c r="I998" s="126"/>
      <c r="J998" s="402"/>
      <c r="K998" s="401"/>
    </row>
    <row r="999">
      <c r="A999" s="121"/>
      <c r="B999" s="399"/>
      <c r="D999" s="123"/>
      <c r="E999" s="123"/>
      <c r="F999" s="125"/>
      <c r="G999" s="125"/>
      <c r="I999" s="126"/>
      <c r="J999" s="402"/>
      <c r="K999" s="401"/>
    </row>
    <row r="1000">
      <c r="A1000" s="121"/>
      <c r="B1000" s="399"/>
      <c r="D1000" s="123"/>
      <c r="E1000" s="123"/>
      <c r="F1000" s="125"/>
      <c r="G1000" s="125"/>
      <c r="I1000" s="126"/>
      <c r="J1000" s="402"/>
      <c r="K1000" s="401"/>
    </row>
  </sheetData>
  <autoFilter ref="$A$4:$N$84"/>
  <customSheetViews>
    <customSheetView guid="{AE12009C-ACD1-4246-A326-D573D205DE1C}" filter="1" showAutoFilter="1">
      <autoFilter ref="$B$1:$L$1"/>
    </customSheetView>
  </customSheetViews>
  <mergeCells count="36">
    <mergeCell ref="A1:K1"/>
    <mergeCell ref="A5:A15"/>
    <mergeCell ref="B5:B15"/>
    <mergeCell ref="A16:A21"/>
    <mergeCell ref="B16:B19"/>
    <mergeCell ref="B20:B21"/>
    <mergeCell ref="A22:A27"/>
    <mergeCell ref="B22:B26"/>
    <mergeCell ref="C27:H27"/>
    <mergeCell ref="A28:A37"/>
    <mergeCell ref="B28:B34"/>
    <mergeCell ref="B35:B37"/>
    <mergeCell ref="A38:A43"/>
    <mergeCell ref="B38:B43"/>
    <mergeCell ref="B60:B61"/>
    <mergeCell ref="B63:B65"/>
    <mergeCell ref="C66:H66"/>
    <mergeCell ref="C67:H67"/>
    <mergeCell ref="B68:B69"/>
    <mergeCell ref="A44:A47"/>
    <mergeCell ref="B44:B47"/>
    <mergeCell ref="A48:A56"/>
    <mergeCell ref="B48:B50"/>
    <mergeCell ref="B51:B53"/>
    <mergeCell ref="B54:B56"/>
    <mergeCell ref="B57:B59"/>
    <mergeCell ref="A77:A81"/>
    <mergeCell ref="A82:A84"/>
    <mergeCell ref="A57:A59"/>
    <mergeCell ref="A60:A62"/>
    <mergeCell ref="A63:A67"/>
    <mergeCell ref="A68:A76"/>
    <mergeCell ref="B70:B72"/>
    <mergeCell ref="B73:B76"/>
    <mergeCell ref="B77:B81"/>
    <mergeCell ref="B82:B83"/>
  </mergeCells>
  <printOptions horizontalCentered="1"/>
  <pageMargins bottom="0.4330708661417323" footer="0.0" header="0.0" left="0.1968503937007874" right="0.1968503937007874" top="0.7480314960629921"/>
  <pageSetup paperSize="9" orientation="landscape"/>
  <headerFooter>
    <oddHeader>&amp;LVyvážený rozvoj&amp;RAkční plán rozvoje města pro období 2023 - 2024 - vyhodnocení plnění k 31.12.2023</oddHead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5.29"/>
    <col customWidth="1" min="2" max="2" width="24.86"/>
    <col customWidth="1" min="3" max="3" width="39.57"/>
    <col customWidth="1" min="4" max="4" width="7.71"/>
    <col customWidth="1" min="5" max="5" width="8.43"/>
    <col customWidth="1" hidden="1" min="6" max="7" width="9.71"/>
    <col customWidth="1" hidden="1" min="8" max="8" width="8.71"/>
    <col customWidth="1" hidden="1" min="9" max="9" width="9.29"/>
    <col customWidth="1" min="10" max="10" width="10.57"/>
    <col customWidth="1" min="11" max="11" width="50.57"/>
    <col customWidth="1" min="12" max="12" width="10.29"/>
    <col customWidth="1" min="13" max="26" width="8.71"/>
  </cols>
  <sheetData>
    <row r="1">
      <c r="A1" s="403" t="s">
        <v>421</v>
      </c>
      <c r="B1" s="51"/>
      <c r="C1" s="51"/>
      <c r="D1" s="51"/>
      <c r="E1" s="51"/>
      <c r="F1" s="51"/>
      <c r="G1" s="51"/>
      <c r="H1" s="51"/>
      <c r="I1" s="51"/>
      <c r="J1" s="51"/>
      <c r="K1" s="52"/>
      <c r="L1" s="127"/>
    </row>
    <row r="2">
      <c r="A2" s="404" t="s">
        <v>1</v>
      </c>
      <c r="B2" s="405" t="s">
        <v>2</v>
      </c>
      <c r="C2" s="405" t="s">
        <v>3</v>
      </c>
      <c r="D2" s="406" t="s">
        <v>4</v>
      </c>
      <c r="E2" s="405" t="s">
        <v>5</v>
      </c>
      <c r="F2" s="407" t="s">
        <v>422</v>
      </c>
      <c r="G2" s="407" t="s">
        <v>423</v>
      </c>
      <c r="H2" s="408" t="s">
        <v>8</v>
      </c>
      <c r="I2" s="11"/>
      <c r="J2" s="409" t="s">
        <v>9</v>
      </c>
      <c r="K2" s="410" t="s">
        <v>10</v>
      </c>
      <c r="L2" s="127"/>
    </row>
    <row r="3">
      <c r="A3" s="411"/>
      <c r="B3" s="412"/>
      <c r="C3" s="412"/>
      <c r="D3" s="413" t="s">
        <v>11</v>
      </c>
      <c r="E3" s="412"/>
      <c r="F3" s="414"/>
      <c r="G3" s="414"/>
      <c r="H3" s="415"/>
      <c r="I3" s="19"/>
      <c r="J3" s="416"/>
      <c r="K3" s="417"/>
      <c r="L3" s="127"/>
    </row>
    <row r="4">
      <c r="A4" s="418"/>
      <c r="B4" s="419"/>
      <c r="C4" s="419"/>
      <c r="D4" s="420" t="s">
        <v>12</v>
      </c>
      <c r="E4" s="419"/>
      <c r="F4" s="421"/>
      <c r="G4" s="421"/>
      <c r="H4" s="422"/>
      <c r="I4" s="27"/>
      <c r="J4" s="423"/>
      <c r="K4" s="424"/>
      <c r="L4" s="127"/>
    </row>
    <row r="5" ht="43.5" customHeight="1">
      <c r="A5" s="29" t="s">
        <v>424</v>
      </c>
      <c r="B5" s="71" t="s">
        <v>425</v>
      </c>
      <c r="C5" s="90" t="s">
        <v>426</v>
      </c>
      <c r="D5" s="91" t="s">
        <v>177</v>
      </c>
      <c r="E5" s="92" t="s">
        <v>427</v>
      </c>
      <c r="F5" s="157">
        <v>14500.0</v>
      </c>
      <c r="G5" s="157">
        <v>15000.0</v>
      </c>
      <c r="H5" s="94"/>
      <c r="I5" s="425"/>
      <c r="J5" s="68" t="s">
        <v>36</v>
      </c>
      <c r="K5" s="38" t="s">
        <v>428</v>
      </c>
      <c r="L5" s="127"/>
    </row>
    <row r="6">
      <c r="A6" s="39"/>
      <c r="B6" s="39"/>
      <c r="C6" s="217" t="s">
        <v>429</v>
      </c>
      <c r="D6" s="221" t="s">
        <v>430</v>
      </c>
      <c r="E6" s="218" t="s">
        <v>129</v>
      </c>
      <c r="F6" s="219">
        <v>5.0</v>
      </c>
      <c r="G6" s="219">
        <v>5.0</v>
      </c>
      <c r="H6" s="276"/>
      <c r="I6" s="426"/>
      <c r="J6" s="205" t="s">
        <v>19</v>
      </c>
      <c r="K6" s="427" t="s">
        <v>431</v>
      </c>
      <c r="L6" s="428"/>
    </row>
    <row r="7">
      <c r="A7" s="39"/>
      <c r="B7" s="39"/>
      <c r="C7" s="95" t="s">
        <v>432</v>
      </c>
      <c r="D7" s="96" t="s">
        <v>430</v>
      </c>
      <c r="E7" s="97" t="s">
        <v>12</v>
      </c>
      <c r="F7" s="98">
        <v>10.0</v>
      </c>
      <c r="G7" s="98">
        <v>10.0</v>
      </c>
      <c r="H7" s="207"/>
      <c r="I7" s="429"/>
      <c r="J7" s="172" t="s">
        <v>156</v>
      </c>
      <c r="K7" s="430"/>
      <c r="L7" s="428"/>
    </row>
    <row r="8" ht="48.75" customHeight="1">
      <c r="A8" s="39"/>
      <c r="B8" s="431" t="s">
        <v>433</v>
      </c>
      <c r="C8" s="432" t="s">
        <v>434</v>
      </c>
      <c r="D8" s="433" t="s">
        <v>435</v>
      </c>
      <c r="E8" s="434" t="s">
        <v>436</v>
      </c>
      <c r="F8" s="435"/>
      <c r="G8" s="435"/>
      <c r="H8" s="436"/>
      <c r="I8" s="437"/>
      <c r="J8" s="37" t="s">
        <v>19</v>
      </c>
      <c r="K8" s="438" t="s">
        <v>437</v>
      </c>
      <c r="L8" s="127"/>
    </row>
    <row r="9" ht="117.0" customHeight="1">
      <c r="A9" s="39"/>
      <c r="B9" s="39"/>
      <c r="C9" s="439" t="s">
        <v>438</v>
      </c>
      <c r="D9" s="440" t="s">
        <v>430</v>
      </c>
      <c r="E9" s="441" t="s">
        <v>439</v>
      </c>
      <c r="F9" s="442"/>
      <c r="G9" s="442">
        <v>50.0</v>
      </c>
      <c r="H9" s="443"/>
      <c r="I9" s="444"/>
      <c r="J9" s="205" t="s">
        <v>19</v>
      </c>
      <c r="K9" s="445" t="s">
        <v>440</v>
      </c>
      <c r="L9" s="127"/>
    </row>
    <row r="10">
      <c r="A10" s="39"/>
      <c r="B10" s="39"/>
      <c r="C10" s="439" t="s">
        <v>441</v>
      </c>
      <c r="D10" s="440" t="s">
        <v>430</v>
      </c>
      <c r="E10" s="441" t="s">
        <v>12</v>
      </c>
      <c r="F10" s="442"/>
      <c r="G10" s="442">
        <v>250.0</v>
      </c>
      <c r="H10" s="443"/>
      <c r="I10" s="444"/>
      <c r="J10" s="205" t="s">
        <v>19</v>
      </c>
      <c r="K10" s="445" t="s">
        <v>442</v>
      </c>
      <c r="L10" s="127"/>
    </row>
    <row r="11">
      <c r="A11" s="40"/>
      <c r="B11" s="40"/>
      <c r="C11" s="446" t="s">
        <v>443</v>
      </c>
      <c r="D11" s="447" t="s">
        <v>430</v>
      </c>
      <c r="E11" s="448" t="s">
        <v>129</v>
      </c>
      <c r="F11" s="449">
        <v>5.0</v>
      </c>
      <c r="G11" s="449">
        <v>5.0</v>
      </c>
      <c r="H11" s="450"/>
      <c r="I11" s="451"/>
      <c r="J11" s="70" t="s">
        <v>36</v>
      </c>
      <c r="K11" s="452" t="s">
        <v>444</v>
      </c>
      <c r="L11" s="127"/>
    </row>
    <row r="12" ht="37.5" customHeight="1">
      <c r="A12" s="29" t="s">
        <v>424</v>
      </c>
      <c r="B12" s="453" t="s">
        <v>445</v>
      </c>
      <c r="C12" s="72" t="s">
        <v>446</v>
      </c>
      <c r="D12" s="73" t="s">
        <v>16</v>
      </c>
      <c r="E12" s="74" t="s">
        <v>12</v>
      </c>
      <c r="F12" s="93">
        <v>697.9</v>
      </c>
      <c r="G12" s="76"/>
      <c r="H12" s="454"/>
      <c r="I12" s="455" t="s">
        <v>24</v>
      </c>
      <c r="J12" s="68" t="s">
        <v>36</v>
      </c>
      <c r="K12" s="456" t="s">
        <v>447</v>
      </c>
      <c r="L12" s="127"/>
    </row>
    <row r="13" ht="66.0" customHeight="1">
      <c r="A13" s="39"/>
      <c r="B13" s="363"/>
      <c r="C13" s="78" t="s">
        <v>448</v>
      </c>
      <c r="D13" s="79" t="s">
        <v>430</v>
      </c>
      <c r="E13" s="80" t="s">
        <v>12</v>
      </c>
      <c r="F13" s="82"/>
      <c r="G13" s="82"/>
      <c r="H13" s="457"/>
      <c r="I13" s="458"/>
      <c r="J13" s="47" t="s">
        <v>19</v>
      </c>
      <c r="K13" s="459" t="s">
        <v>449</v>
      </c>
      <c r="L13" s="127"/>
    </row>
    <row r="14" ht="108.0" customHeight="1">
      <c r="A14" s="39"/>
      <c r="B14" s="431" t="s">
        <v>450</v>
      </c>
      <c r="C14" s="432" t="s">
        <v>451</v>
      </c>
      <c r="D14" s="433" t="s">
        <v>177</v>
      </c>
      <c r="E14" s="434" t="s">
        <v>12</v>
      </c>
      <c r="F14" s="435"/>
      <c r="G14" s="435"/>
      <c r="H14" s="436"/>
      <c r="I14" s="437"/>
      <c r="J14" s="68" t="s">
        <v>36</v>
      </c>
      <c r="K14" s="438" t="s">
        <v>452</v>
      </c>
      <c r="L14" s="127"/>
    </row>
    <row r="15">
      <c r="A15" s="40"/>
      <c r="B15" s="40"/>
      <c r="C15" s="446" t="s">
        <v>453</v>
      </c>
      <c r="D15" s="447" t="s">
        <v>177</v>
      </c>
      <c r="E15" s="448" t="s">
        <v>12</v>
      </c>
      <c r="F15" s="449"/>
      <c r="G15" s="449">
        <v>50.0</v>
      </c>
      <c r="H15" s="450"/>
      <c r="I15" s="451"/>
      <c r="J15" s="172" t="s">
        <v>156</v>
      </c>
      <c r="K15" s="452"/>
      <c r="L15" s="127"/>
    </row>
    <row r="16" ht="78.0" customHeight="1">
      <c r="A16" s="460" t="s">
        <v>454</v>
      </c>
      <c r="B16" s="71" t="s">
        <v>455</v>
      </c>
      <c r="C16" s="90" t="s">
        <v>456</v>
      </c>
      <c r="D16" s="91" t="s">
        <v>457</v>
      </c>
      <c r="E16" s="92" t="s">
        <v>12</v>
      </c>
      <c r="F16" s="93"/>
      <c r="G16" s="93"/>
      <c r="H16" s="158"/>
      <c r="I16" s="437"/>
      <c r="J16" s="68" t="s">
        <v>36</v>
      </c>
      <c r="K16" s="438" t="s">
        <v>458</v>
      </c>
      <c r="L16" s="127"/>
    </row>
    <row r="17" ht="112.5" customHeight="1">
      <c r="A17" s="40"/>
      <c r="B17" s="40"/>
      <c r="C17" s="95" t="s">
        <v>459</v>
      </c>
      <c r="D17" s="96" t="s">
        <v>457</v>
      </c>
      <c r="E17" s="97" t="s">
        <v>12</v>
      </c>
      <c r="F17" s="98"/>
      <c r="G17" s="98"/>
      <c r="H17" s="207"/>
      <c r="I17" s="461"/>
      <c r="J17" s="70" t="s">
        <v>36</v>
      </c>
      <c r="K17" s="462" t="s">
        <v>460</v>
      </c>
      <c r="L17" s="127"/>
    </row>
    <row r="18" ht="303.0" customHeight="1">
      <c r="A18" s="460" t="s">
        <v>454</v>
      </c>
      <c r="B18" s="463" t="s">
        <v>455</v>
      </c>
      <c r="C18" s="464" t="s">
        <v>461</v>
      </c>
      <c r="D18" s="232" t="s">
        <v>462</v>
      </c>
      <c r="E18" s="235" t="s">
        <v>12</v>
      </c>
      <c r="F18" s="465"/>
      <c r="G18" s="465"/>
      <c r="H18" s="237"/>
      <c r="I18" s="466"/>
      <c r="J18" s="68" t="s">
        <v>36</v>
      </c>
      <c r="K18" s="55" t="s">
        <v>463</v>
      </c>
      <c r="L18" s="127"/>
    </row>
    <row r="19">
      <c r="A19" s="40"/>
      <c r="B19" s="467" t="s">
        <v>464</v>
      </c>
      <c r="C19" s="468" t="s">
        <v>465</v>
      </c>
      <c r="D19" s="469" t="s">
        <v>466</v>
      </c>
      <c r="E19" s="470" t="s">
        <v>467</v>
      </c>
      <c r="F19" s="471"/>
      <c r="G19" s="471"/>
      <c r="H19" s="472"/>
      <c r="I19" s="473"/>
      <c r="J19" s="172" t="s">
        <v>156</v>
      </c>
      <c r="K19" s="474" t="s">
        <v>468</v>
      </c>
      <c r="L19" s="127"/>
    </row>
    <row r="20">
      <c r="A20" s="121"/>
      <c r="B20" s="122"/>
      <c r="C20" s="475"/>
      <c r="D20" s="123"/>
      <c r="E20" s="239"/>
      <c r="F20" s="125"/>
      <c r="G20" s="125"/>
      <c r="I20" s="476"/>
      <c r="J20" s="402"/>
      <c r="K20" s="477"/>
      <c r="L20" s="127"/>
    </row>
    <row r="21">
      <c r="A21" s="121"/>
      <c r="B21" s="122"/>
      <c r="D21" s="123"/>
      <c r="E21" s="239"/>
      <c r="F21" s="125"/>
      <c r="G21" s="125"/>
      <c r="I21" s="476"/>
      <c r="J21" s="402"/>
      <c r="K21" s="477"/>
      <c r="L21" s="127"/>
    </row>
    <row r="22">
      <c r="A22" s="121"/>
      <c r="B22" s="122"/>
      <c r="D22" s="123"/>
      <c r="E22" s="239"/>
      <c r="F22" s="125"/>
      <c r="G22" s="125"/>
      <c r="I22" s="476"/>
      <c r="J22" s="402"/>
      <c r="K22" s="477"/>
      <c r="L22" s="127"/>
    </row>
    <row r="23">
      <c r="A23" s="121"/>
      <c r="B23" s="122"/>
      <c r="D23" s="123"/>
      <c r="E23" s="239"/>
      <c r="F23" s="125"/>
      <c r="G23" s="125"/>
      <c r="I23" s="476"/>
      <c r="J23" s="402"/>
      <c r="K23" s="477"/>
      <c r="L23" s="127"/>
    </row>
    <row r="24">
      <c r="A24" s="121"/>
      <c r="B24" s="122"/>
      <c r="D24" s="123"/>
      <c r="E24" s="239"/>
      <c r="F24" s="125"/>
      <c r="G24" s="125"/>
      <c r="I24" s="476"/>
      <c r="J24" s="402"/>
      <c r="K24" s="477"/>
      <c r="L24" s="127"/>
    </row>
    <row r="25">
      <c r="A25" s="121"/>
      <c r="B25" s="122"/>
      <c r="D25" s="123"/>
      <c r="E25" s="239"/>
      <c r="F25" s="125"/>
      <c r="G25" s="125"/>
      <c r="I25" s="476"/>
      <c r="J25" s="402"/>
      <c r="K25" s="477"/>
      <c r="L25" s="127"/>
    </row>
    <row r="26">
      <c r="A26" s="121"/>
      <c r="B26" s="122"/>
      <c r="D26" s="123"/>
      <c r="E26" s="239"/>
      <c r="F26" s="125"/>
      <c r="G26" s="125"/>
      <c r="I26" s="476"/>
      <c r="J26" s="402"/>
      <c r="K26" s="477"/>
      <c r="L26" s="127"/>
    </row>
    <row r="27">
      <c r="A27" s="121"/>
      <c r="B27" s="122"/>
      <c r="D27" s="123"/>
      <c r="E27" s="239"/>
      <c r="F27" s="125"/>
      <c r="G27" s="125"/>
      <c r="I27" s="476"/>
      <c r="J27" s="402"/>
      <c r="K27" s="477"/>
      <c r="L27" s="127"/>
    </row>
    <row r="28">
      <c r="A28" s="121"/>
      <c r="B28" s="122"/>
      <c r="D28" s="123"/>
      <c r="E28" s="239"/>
      <c r="F28" s="125"/>
      <c r="G28" s="125"/>
      <c r="I28" s="476"/>
      <c r="J28" s="402"/>
      <c r="K28" s="477"/>
      <c r="L28" s="127"/>
    </row>
    <row r="29">
      <c r="A29" s="121"/>
      <c r="B29" s="122"/>
      <c r="D29" s="123"/>
      <c r="E29" s="239"/>
      <c r="F29" s="125"/>
      <c r="G29" s="125"/>
      <c r="I29" s="476"/>
      <c r="J29" s="402"/>
      <c r="K29" s="477"/>
      <c r="L29" s="127"/>
    </row>
    <row r="30">
      <c r="A30" s="121"/>
      <c r="B30" s="122"/>
      <c r="D30" s="123"/>
      <c r="E30" s="239"/>
      <c r="F30" s="125"/>
      <c r="G30" s="125"/>
      <c r="I30" s="476"/>
      <c r="J30" s="402"/>
      <c r="K30" s="477"/>
      <c r="L30" s="127"/>
    </row>
    <row r="31">
      <c r="A31" s="121"/>
      <c r="B31" s="122"/>
      <c r="D31" s="123"/>
      <c r="E31" s="239"/>
      <c r="F31" s="125"/>
      <c r="G31" s="125"/>
      <c r="I31" s="476"/>
      <c r="J31" s="402"/>
      <c r="K31" s="477"/>
      <c r="L31" s="127"/>
    </row>
    <row r="32">
      <c r="A32" s="121"/>
      <c r="B32" s="122"/>
      <c r="D32" s="123"/>
      <c r="E32" s="239"/>
      <c r="F32" s="125"/>
      <c r="G32" s="125"/>
      <c r="I32" s="476"/>
      <c r="J32" s="402"/>
      <c r="K32" s="477"/>
      <c r="L32" s="127"/>
    </row>
    <row r="33">
      <c r="A33" s="121"/>
      <c r="B33" s="122"/>
      <c r="D33" s="123"/>
      <c r="E33" s="239"/>
      <c r="F33" s="125"/>
      <c r="G33" s="125"/>
      <c r="I33" s="476"/>
      <c r="J33" s="402"/>
      <c r="K33" s="477"/>
      <c r="L33" s="127"/>
    </row>
    <row r="34">
      <c r="A34" s="121"/>
      <c r="B34" s="122"/>
      <c r="D34" s="123"/>
      <c r="E34" s="239"/>
      <c r="F34" s="125"/>
      <c r="G34" s="125"/>
      <c r="I34" s="476"/>
      <c r="J34" s="402"/>
      <c r="K34" s="477"/>
      <c r="L34" s="127"/>
    </row>
    <row r="35">
      <c r="A35" s="121"/>
      <c r="B35" s="122"/>
      <c r="D35" s="123"/>
      <c r="E35" s="239"/>
      <c r="F35" s="125"/>
      <c r="G35" s="125"/>
      <c r="I35" s="476"/>
      <c r="J35" s="402"/>
      <c r="K35" s="477"/>
      <c r="L35" s="127"/>
    </row>
    <row r="36">
      <c r="A36" s="121"/>
      <c r="B36" s="122"/>
      <c r="D36" s="123"/>
      <c r="E36" s="239"/>
      <c r="F36" s="125"/>
      <c r="G36" s="125"/>
      <c r="I36" s="476"/>
      <c r="J36" s="402"/>
      <c r="K36" s="477"/>
      <c r="L36" s="127"/>
    </row>
    <row r="37">
      <c r="A37" s="121"/>
      <c r="B37" s="122"/>
      <c r="D37" s="123"/>
      <c r="E37" s="239"/>
      <c r="F37" s="125"/>
      <c r="G37" s="125"/>
      <c r="I37" s="476"/>
      <c r="J37" s="402"/>
      <c r="K37" s="477"/>
      <c r="L37" s="127"/>
    </row>
    <row r="38">
      <c r="A38" s="121"/>
      <c r="B38" s="122"/>
      <c r="D38" s="123"/>
      <c r="E38" s="239"/>
      <c r="F38" s="125"/>
      <c r="G38" s="125"/>
      <c r="I38" s="476"/>
      <c r="J38" s="402"/>
      <c r="K38" s="477"/>
      <c r="L38" s="127"/>
    </row>
    <row r="39">
      <c r="A39" s="121"/>
      <c r="B39" s="122"/>
      <c r="D39" s="123"/>
      <c r="E39" s="239"/>
      <c r="F39" s="125"/>
      <c r="G39" s="125"/>
      <c r="I39" s="476"/>
      <c r="J39" s="402"/>
      <c r="K39" s="477"/>
      <c r="L39" s="127"/>
    </row>
    <row r="40">
      <c r="A40" s="121"/>
      <c r="B40" s="122"/>
      <c r="D40" s="123"/>
      <c r="E40" s="239"/>
      <c r="F40" s="125"/>
      <c r="G40" s="125"/>
      <c r="I40" s="476"/>
      <c r="J40" s="402"/>
      <c r="K40" s="477"/>
      <c r="L40" s="127"/>
    </row>
    <row r="41">
      <c r="A41" s="121"/>
      <c r="B41" s="122"/>
      <c r="D41" s="123"/>
      <c r="E41" s="239"/>
      <c r="F41" s="125"/>
      <c r="G41" s="125"/>
      <c r="I41" s="476"/>
      <c r="J41" s="402"/>
      <c r="K41" s="477"/>
      <c r="L41" s="127"/>
    </row>
    <row r="42">
      <c r="A42" s="121"/>
      <c r="B42" s="122"/>
      <c r="D42" s="123"/>
      <c r="E42" s="239"/>
      <c r="F42" s="125"/>
      <c r="G42" s="125"/>
      <c r="I42" s="476"/>
      <c r="J42" s="402"/>
      <c r="K42" s="477"/>
      <c r="L42" s="127"/>
    </row>
    <row r="43">
      <c r="A43" s="121"/>
      <c r="B43" s="122"/>
      <c r="D43" s="123"/>
      <c r="E43" s="239"/>
      <c r="F43" s="125"/>
      <c r="G43" s="125"/>
      <c r="I43" s="476"/>
      <c r="J43" s="402"/>
      <c r="K43" s="477"/>
      <c r="L43" s="127"/>
    </row>
    <row r="44">
      <c r="A44" s="121"/>
      <c r="B44" s="122"/>
      <c r="D44" s="123"/>
      <c r="E44" s="239"/>
      <c r="F44" s="125"/>
      <c r="G44" s="125"/>
      <c r="I44" s="476"/>
      <c r="J44" s="402"/>
      <c r="K44" s="477"/>
      <c r="L44" s="127"/>
    </row>
    <row r="45">
      <c r="A45" s="121"/>
      <c r="B45" s="122"/>
      <c r="D45" s="123"/>
      <c r="E45" s="239"/>
      <c r="F45" s="125"/>
      <c r="G45" s="125"/>
      <c r="I45" s="476"/>
      <c r="J45" s="402"/>
      <c r="K45" s="477"/>
      <c r="L45" s="127"/>
    </row>
    <row r="46">
      <c r="A46" s="121"/>
      <c r="B46" s="122"/>
      <c r="D46" s="123"/>
      <c r="E46" s="239"/>
      <c r="F46" s="125"/>
      <c r="G46" s="125"/>
      <c r="I46" s="476"/>
      <c r="J46" s="402"/>
      <c r="K46" s="477"/>
      <c r="L46" s="127"/>
    </row>
    <row r="47">
      <c r="A47" s="121"/>
      <c r="B47" s="122"/>
      <c r="D47" s="123"/>
      <c r="E47" s="239"/>
      <c r="F47" s="125"/>
      <c r="G47" s="125"/>
      <c r="I47" s="476"/>
      <c r="J47" s="402"/>
      <c r="K47" s="477"/>
      <c r="L47" s="127"/>
    </row>
    <row r="48">
      <c r="A48" s="121"/>
      <c r="B48" s="122"/>
      <c r="D48" s="123"/>
      <c r="E48" s="239"/>
      <c r="F48" s="125"/>
      <c r="G48" s="125"/>
      <c r="I48" s="476"/>
      <c r="J48" s="402"/>
      <c r="K48" s="477"/>
      <c r="L48" s="127"/>
    </row>
    <row r="49">
      <c r="A49" s="121"/>
      <c r="B49" s="122"/>
      <c r="D49" s="123"/>
      <c r="E49" s="239"/>
      <c r="F49" s="125"/>
      <c r="G49" s="125"/>
      <c r="I49" s="476"/>
      <c r="J49" s="402"/>
      <c r="K49" s="477"/>
      <c r="L49" s="127"/>
    </row>
    <row r="50">
      <c r="A50" s="121"/>
      <c r="B50" s="122"/>
      <c r="D50" s="123"/>
      <c r="E50" s="239"/>
      <c r="F50" s="125"/>
      <c r="G50" s="125"/>
      <c r="I50" s="476"/>
      <c r="J50" s="402"/>
      <c r="K50" s="477"/>
      <c r="L50" s="127"/>
    </row>
    <row r="51">
      <c r="A51" s="121"/>
      <c r="B51" s="122"/>
      <c r="D51" s="123"/>
      <c r="E51" s="239"/>
      <c r="F51" s="125"/>
      <c r="G51" s="125"/>
      <c r="I51" s="476"/>
      <c r="J51" s="402"/>
      <c r="K51" s="477"/>
      <c r="L51" s="127"/>
    </row>
    <row r="52">
      <c r="A52" s="121"/>
      <c r="B52" s="122"/>
      <c r="D52" s="123"/>
      <c r="E52" s="239"/>
      <c r="F52" s="125"/>
      <c r="G52" s="125"/>
      <c r="I52" s="476"/>
      <c r="J52" s="402"/>
      <c r="K52" s="477"/>
      <c r="L52" s="127"/>
    </row>
    <row r="53">
      <c r="A53" s="121"/>
      <c r="B53" s="122"/>
      <c r="D53" s="123"/>
      <c r="E53" s="239"/>
      <c r="F53" s="125"/>
      <c r="G53" s="125"/>
      <c r="I53" s="476"/>
      <c r="J53" s="402"/>
      <c r="K53" s="477"/>
      <c r="L53" s="127"/>
    </row>
    <row r="54">
      <c r="A54" s="121"/>
      <c r="B54" s="122"/>
      <c r="D54" s="123"/>
      <c r="E54" s="239"/>
      <c r="F54" s="125"/>
      <c r="G54" s="125"/>
      <c r="I54" s="476"/>
      <c r="J54" s="402"/>
      <c r="K54" s="477"/>
      <c r="L54" s="127"/>
    </row>
    <row r="55">
      <c r="A55" s="121"/>
      <c r="B55" s="122"/>
      <c r="D55" s="123"/>
      <c r="E55" s="239"/>
      <c r="F55" s="125"/>
      <c r="G55" s="125"/>
      <c r="I55" s="476"/>
      <c r="J55" s="402"/>
      <c r="K55" s="477"/>
      <c r="L55" s="127"/>
    </row>
    <row r="56">
      <c r="A56" s="121"/>
      <c r="B56" s="122"/>
      <c r="D56" s="123"/>
      <c r="E56" s="239"/>
      <c r="F56" s="125"/>
      <c r="G56" s="125"/>
      <c r="I56" s="476"/>
      <c r="J56" s="402"/>
      <c r="K56" s="477"/>
      <c r="L56" s="127"/>
    </row>
    <row r="57">
      <c r="A57" s="121"/>
      <c r="B57" s="122"/>
      <c r="D57" s="123"/>
      <c r="E57" s="239"/>
      <c r="F57" s="125"/>
      <c r="G57" s="125"/>
      <c r="I57" s="476"/>
      <c r="J57" s="402"/>
      <c r="K57" s="477"/>
      <c r="L57" s="127"/>
    </row>
    <row r="58">
      <c r="A58" s="121"/>
      <c r="B58" s="122"/>
      <c r="D58" s="123"/>
      <c r="E58" s="239"/>
      <c r="F58" s="125"/>
      <c r="G58" s="125"/>
      <c r="I58" s="476"/>
      <c r="J58" s="402"/>
      <c r="K58" s="477"/>
      <c r="L58" s="127"/>
    </row>
    <row r="59">
      <c r="A59" s="121"/>
      <c r="B59" s="122"/>
      <c r="D59" s="123"/>
      <c r="E59" s="239"/>
      <c r="F59" s="125"/>
      <c r="G59" s="125"/>
      <c r="I59" s="476"/>
      <c r="J59" s="402"/>
      <c r="K59" s="477"/>
      <c r="L59" s="127"/>
    </row>
    <row r="60">
      <c r="A60" s="121"/>
      <c r="B60" s="122"/>
      <c r="D60" s="123"/>
      <c r="E60" s="239"/>
      <c r="F60" s="125"/>
      <c r="G60" s="125"/>
      <c r="I60" s="476"/>
      <c r="J60" s="402"/>
      <c r="K60" s="477"/>
      <c r="L60" s="127"/>
    </row>
    <row r="61">
      <c r="A61" s="121"/>
      <c r="B61" s="122"/>
      <c r="D61" s="123"/>
      <c r="E61" s="239"/>
      <c r="F61" s="125"/>
      <c r="G61" s="125"/>
      <c r="I61" s="476"/>
      <c r="J61" s="402"/>
      <c r="K61" s="477"/>
      <c r="L61" s="127"/>
    </row>
    <row r="62">
      <c r="A62" s="121"/>
      <c r="B62" s="122"/>
      <c r="D62" s="123"/>
      <c r="E62" s="239"/>
      <c r="F62" s="125"/>
      <c r="G62" s="125"/>
      <c r="I62" s="476"/>
      <c r="J62" s="402"/>
      <c r="K62" s="477"/>
      <c r="L62" s="127"/>
    </row>
    <row r="63">
      <c r="A63" s="121"/>
      <c r="B63" s="122"/>
      <c r="D63" s="123"/>
      <c r="E63" s="239"/>
      <c r="F63" s="125"/>
      <c r="G63" s="125"/>
      <c r="I63" s="476"/>
      <c r="J63" s="402"/>
      <c r="K63" s="477"/>
      <c r="L63" s="127"/>
    </row>
    <row r="64">
      <c r="A64" s="121"/>
      <c r="B64" s="122"/>
      <c r="D64" s="123"/>
      <c r="E64" s="239"/>
      <c r="F64" s="125"/>
      <c r="G64" s="125"/>
      <c r="I64" s="476"/>
      <c r="J64" s="402"/>
      <c r="K64" s="477"/>
      <c r="L64" s="127"/>
    </row>
    <row r="65">
      <c r="A65" s="121"/>
      <c r="B65" s="122"/>
      <c r="D65" s="123"/>
      <c r="E65" s="239"/>
      <c r="F65" s="125"/>
      <c r="G65" s="125"/>
      <c r="I65" s="476"/>
      <c r="J65" s="402"/>
      <c r="K65" s="477"/>
      <c r="L65" s="127"/>
    </row>
    <row r="66">
      <c r="A66" s="121"/>
      <c r="B66" s="122"/>
      <c r="D66" s="123"/>
      <c r="E66" s="239"/>
      <c r="F66" s="125"/>
      <c r="G66" s="125"/>
      <c r="I66" s="476"/>
      <c r="J66" s="402"/>
      <c r="K66" s="477"/>
      <c r="L66" s="127"/>
    </row>
    <row r="67">
      <c r="A67" s="121"/>
      <c r="B67" s="122"/>
      <c r="D67" s="123"/>
      <c r="E67" s="239"/>
      <c r="F67" s="125"/>
      <c r="G67" s="125"/>
      <c r="I67" s="476"/>
      <c r="J67" s="402"/>
      <c r="K67" s="477"/>
      <c r="L67" s="127"/>
    </row>
    <row r="68">
      <c r="A68" s="121"/>
      <c r="B68" s="122"/>
      <c r="D68" s="123"/>
      <c r="E68" s="239"/>
      <c r="F68" s="125"/>
      <c r="G68" s="125"/>
      <c r="I68" s="476"/>
      <c r="J68" s="402"/>
      <c r="K68" s="477"/>
      <c r="L68" s="127"/>
    </row>
    <row r="69">
      <c r="A69" s="121"/>
      <c r="B69" s="122"/>
      <c r="D69" s="123"/>
      <c r="E69" s="239"/>
      <c r="F69" s="125"/>
      <c r="G69" s="125"/>
      <c r="I69" s="476"/>
      <c r="J69" s="402"/>
      <c r="K69" s="477"/>
      <c r="L69" s="127"/>
    </row>
    <row r="70">
      <c r="A70" s="121"/>
      <c r="B70" s="122"/>
      <c r="D70" s="123"/>
      <c r="E70" s="239"/>
      <c r="F70" s="125"/>
      <c r="G70" s="125"/>
      <c r="I70" s="476"/>
      <c r="J70" s="402"/>
      <c r="K70" s="477"/>
      <c r="L70" s="127"/>
    </row>
    <row r="71">
      <c r="A71" s="121"/>
      <c r="B71" s="122"/>
      <c r="D71" s="123"/>
      <c r="E71" s="239"/>
      <c r="F71" s="125"/>
      <c r="G71" s="125"/>
      <c r="I71" s="476"/>
      <c r="J71" s="402"/>
      <c r="K71" s="477"/>
      <c r="L71" s="127"/>
    </row>
    <row r="72">
      <c r="A72" s="121"/>
      <c r="B72" s="122"/>
      <c r="D72" s="123"/>
      <c r="E72" s="239"/>
      <c r="F72" s="125"/>
      <c r="G72" s="125"/>
      <c r="I72" s="476"/>
      <c r="J72" s="402"/>
      <c r="K72" s="477"/>
      <c r="L72" s="127"/>
    </row>
    <row r="73">
      <c r="A73" s="121"/>
      <c r="B73" s="122"/>
      <c r="D73" s="123"/>
      <c r="E73" s="239"/>
      <c r="F73" s="125"/>
      <c r="G73" s="125"/>
      <c r="I73" s="476"/>
      <c r="J73" s="402"/>
      <c r="K73" s="477"/>
      <c r="L73" s="127"/>
    </row>
    <row r="74">
      <c r="A74" s="121"/>
      <c r="B74" s="122"/>
      <c r="D74" s="123"/>
      <c r="E74" s="239"/>
      <c r="F74" s="125"/>
      <c r="G74" s="125"/>
      <c r="I74" s="476"/>
      <c r="J74" s="402"/>
      <c r="K74" s="477"/>
      <c r="L74" s="127"/>
    </row>
    <row r="75">
      <c r="A75" s="121"/>
      <c r="B75" s="122"/>
      <c r="D75" s="123"/>
      <c r="E75" s="239"/>
      <c r="F75" s="125"/>
      <c r="G75" s="125"/>
      <c r="I75" s="476"/>
      <c r="J75" s="402"/>
      <c r="K75" s="477"/>
      <c r="L75" s="127"/>
    </row>
    <row r="76">
      <c r="A76" s="121"/>
      <c r="B76" s="122"/>
      <c r="D76" s="123"/>
      <c r="E76" s="239"/>
      <c r="F76" s="125"/>
      <c r="G76" s="125"/>
      <c r="I76" s="476"/>
      <c r="J76" s="402"/>
      <c r="K76" s="477"/>
      <c r="L76" s="127"/>
    </row>
    <row r="77">
      <c r="A77" s="121"/>
      <c r="B77" s="122"/>
      <c r="D77" s="123"/>
      <c r="E77" s="239"/>
      <c r="F77" s="125"/>
      <c r="G77" s="125"/>
      <c r="I77" s="476"/>
      <c r="J77" s="402"/>
      <c r="K77" s="477"/>
      <c r="L77" s="127"/>
    </row>
    <row r="78">
      <c r="A78" s="121"/>
      <c r="B78" s="122"/>
      <c r="D78" s="123"/>
      <c r="E78" s="239"/>
      <c r="F78" s="125"/>
      <c r="G78" s="125"/>
      <c r="I78" s="476"/>
      <c r="J78" s="402"/>
      <c r="K78" s="477"/>
      <c r="L78" s="127"/>
    </row>
    <row r="79">
      <c r="A79" s="121"/>
      <c r="B79" s="122"/>
      <c r="D79" s="123"/>
      <c r="E79" s="239"/>
      <c r="F79" s="125"/>
      <c r="G79" s="125"/>
      <c r="I79" s="476"/>
      <c r="J79" s="402"/>
      <c r="K79" s="477"/>
      <c r="L79" s="127"/>
    </row>
    <row r="80">
      <c r="A80" s="121"/>
      <c r="B80" s="122"/>
      <c r="D80" s="123"/>
      <c r="E80" s="239"/>
      <c r="F80" s="125"/>
      <c r="G80" s="125"/>
      <c r="I80" s="476"/>
      <c r="J80" s="402"/>
      <c r="K80" s="477"/>
      <c r="L80" s="127"/>
    </row>
    <row r="81">
      <c r="A81" s="121"/>
      <c r="B81" s="122"/>
      <c r="D81" s="123"/>
      <c r="E81" s="239"/>
      <c r="F81" s="125"/>
      <c r="G81" s="125"/>
      <c r="I81" s="476"/>
      <c r="J81" s="402"/>
      <c r="K81" s="477"/>
      <c r="L81" s="127"/>
    </row>
    <row r="82">
      <c r="A82" s="121"/>
      <c r="B82" s="122"/>
      <c r="D82" s="123"/>
      <c r="E82" s="239"/>
      <c r="F82" s="125"/>
      <c r="G82" s="125"/>
      <c r="I82" s="476"/>
      <c r="J82" s="402"/>
      <c r="K82" s="477"/>
      <c r="L82" s="127"/>
    </row>
    <row r="83">
      <c r="A83" s="121"/>
      <c r="B83" s="122"/>
      <c r="D83" s="123"/>
      <c r="E83" s="239"/>
      <c r="F83" s="125"/>
      <c r="G83" s="125"/>
      <c r="I83" s="476"/>
      <c r="J83" s="402"/>
      <c r="K83" s="477"/>
      <c r="L83" s="127"/>
    </row>
    <row r="84">
      <c r="A84" s="121"/>
      <c r="B84" s="122"/>
      <c r="D84" s="123"/>
      <c r="E84" s="239"/>
      <c r="F84" s="125"/>
      <c r="G84" s="125"/>
      <c r="I84" s="476"/>
      <c r="J84" s="402"/>
      <c r="K84" s="477"/>
      <c r="L84" s="127"/>
    </row>
    <row r="85">
      <c r="A85" s="121"/>
      <c r="B85" s="122"/>
      <c r="D85" s="123"/>
      <c r="E85" s="239"/>
      <c r="F85" s="125"/>
      <c r="G85" s="125"/>
      <c r="I85" s="476"/>
      <c r="J85" s="402"/>
      <c r="K85" s="477"/>
      <c r="L85" s="127"/>
    </row>
    <row r="86">
      <c r="A86" s="121"/>
      <c r="B86" s="122"/>
      <c r="D86" s="123"/>
      <c r="E86" s="239"/>
      <c r="F86" s="125"/>
      <c r="G86" s="125"/>
      <c r="I86" s="476"/>
      <c r="J86" s="402"/>
      <c r="K86" s="477"/>
      <c r="L86" s="127"/>
    </row>
    <row r="87">
      <c r="A87" s="121"/>
      <c r="B87" s="122"/>
      <c r="D87" s="123"/>
      <c r="E87" s="239"/>
      <c r="F87" s="125"/>
      <c r="G87" s="125"/>
      <c r="I87" s="476"/>
      <c r="J87" s="402"/>
      <c r="K87" s="477"/>
      <c r="L87" s="127"/>
    </row>
    <row r="88">
      <c r="A88" s="121"/>
      <c r="B88" s="122"/>
      <c r="D88" s="123"/>
      <c r="E88" s="239"/>
      <c r="F88" s="125"/>
      <c r="G88" s="125"/>
      <c r="I88" s="476"/>
      <c r="J88" s="402"/>
      <c r="K88" s="477"/>
      <c r="L88" s="127"/>
    </row>
    <row r="89">
      <c r="A89" s="121"/>
      <c r="B89" s="122"/>
      <c r="D89" s="123"/>
      <c r="E89" s="239"/>
      <c r="F89" s="125"/>
      <c r="G89" s="125"/>
      <c r="I89" s="476"/>
      <c r="J89" s="402"/>
      <c r="K89" s="477"/>
      <c r="L89" s="127"/>
    </row>
    <row r="90">
      <c r="A90" s="121"/>
      <c r="B90" s="122"/>
      <c r="D90" s="123"/>
      <c r="E90" s="239"/>
      <c r="F90" s="125"/>
      <c r="G90" s="125"/>
      <c r="I90" s="476"/>
      <c r="J90" s="402"/>
      <c r="K90" s="477"/>
      <c r="L90" s="127"/>
    </row>
    <row r="91">
      <c r="A91" s="121"/>
      <c r="B91" s="122"/>
      <c r="D91" s="123"/>
      <c r="E91" s="239"/>
      <c r="F91" s="125"/>
      <c r="G91" s="125"/>
      <c r="I91" s="476"/>
      <c r="J91" s="402"/>
      <c r="K91" s="477"/>
      <c r="L91" s="127"/>
    </row>
    <row r="92">
      <c r="A92" s="121"/>
      <c r="B92" s="122"/>
      <c r="D92" s="123"/>
      <c r="E92" s="239"/>
      <c r="F92" s="125"/>
      <c r="G92" s="125"/>
      <c r="I92" s="476"/>
      <c r="J92" s="402"/>
      <c r="K92" s="477"/>
      <c r="L92" s="127"/>
    </row>
    <row r="93">
      <c r="A93" s="121"/>
      <c r="B93" s="122"/>
      <c r="D93" s="123"/>
      <c r="E93" s="239"/>
      <c r="F93" s="125"/>
      <c r="G93" s="125"/>
      <c r="I93" s="476"/>
      <c r="J93" s="402"/>
      <c r="K93" s="477"/>
      <c r="L93" s="127"/>
    </row>
    <row r="94">
      <c r="A94" s="121"/>
      <c r="B94" s="122"/>
      <c r="D94" s="123"/>
      <c r="E94" s="239"/>
      <c r="F94" s="125"/>
      <c r="G94" s="125"/>
      <c r="I94" s="476"/>
      <c r="J94" s="402"/>
      <c r="K94" s="477"/>
      <c r="L94" s="127"/>
    </row>
    <row r="95">
      <c r="A95" s="121"/>
      <c r="B95" s="122"/>
      <c r="D95" s="123"/>
      <c r="E95" s="239"/>
      <c r="F95" s="125"/>
      <c r="G95" s="125"/>
      <c r="I95" s="476"/>
      <c r="J95" s="402"/>
      <c r="K95" s="477"/>
      <c r="L95" s="127"/>
    </row>
    <row r="96">
      <c r="A96" s="121"/>
      <c r="B96" s="122"/>
      <c r="D96" s="123"/>
      <c r="E96" s="239"/>
      <c r="F96" s="125"/>
      <c r="G96" s="125"/>
      <c r="I96" s="476"/>
      <c r="J96" s="402"/>
      <c r="K96" s="477"/>
      <c r="L96" s="127"/>
    </row>
    <row r="97">
      <c r="A97" s="121"/>
      <c r="B97" s="122"/>
      <c r="D97" s="123"/>
      <c r="E97" s="239"/>
      <c r="F97" s="125"/>
      <c r="G97" s="125"/>
      <c r="I97" s="476"/>
      <c r="J97" s="402"/>
      <c r="K97" s="477"/>
      <c r="L97" s="127"/>
    </row>
    <row r="98">
      <c r="A98" s="121"/>
      <c r="B98" s="122"/>
      <c r="D98" s="123"/>
      <c r="E98" s="239"/>
      <c r="F98" s="125"/>
      <c r="G98" s="125"/>
      <c r="I98" s="476"/>
      <c r="J98" s="402"/>
      <c r="K98" s="477"/>
      <c r="L98" s="127"/>
    </row>
    <row r="99">
      <c r="A99" s="121"/>
      <c r="B99" s="122"/>
      <c r="D99" s="123"/>
      <c r="E99" s="239"/>
      <c r="F99" s="125"/>
      <c r="G99" s="125"/>
      <c r="I99" s="476"/>
      <c r="J99" s="402"/>
      <c r="K99" s="477"/>
      <c r="L99" s="127"/>
    </row>
    <row r="100">
      <c r="A100" s="121"/>
      <c r="B100" s="122"/>
      <c r="D100" s="123"/>
      <c r="E100" s="239"/>
      <c r="F100" s="125"/>
      <c r="G100" s="125"/>
      <c r="I100" s="476"/>
      <c r="J100" s="402"/>
      <c r="K100" s="477"/>
      <c r="L100" s="127"/>
    </row>
    <row r="101">
      <c r="A101" s="121"/>
      <c r="B101" s="122"/>
      <c r="D101" s="123"/>
      <c r="E101" s="239"/>
      <c r="F101" s="125"/>
      <c r="G101" s="125"/>
      <c r="I101" s="476"/>
      <c r="J101" s="402"/>
      <c r="K101" s="477"/>
      <c r="L101" s="127"/>
    </row>
    <row r="102">
      <c r="A102" s="121"/>
      <c r="B102" s="122"/>
      <c r="D102" s="123"/>
      <c r="E102" s="239"/>
      <c r="F102" s="125"/>
      <c r="G102" s="125"/>
      <c r="I102" s="476"/>
      <c r="J102" s="402"/>
      <c r="K102" s="477"/>
      <c r="L102" s="127"/>
    </row>
    <row r="103">
      <c r="A103" s="121"/>
      <c r="B103" s="122"/>
      <c r="D103" s="123"/>
      <c r="E103" s="239"/>
      <c r="F103" s="125"/>
      <c r="G103" s="125"/>
      <c r="I103" s="476"/>
      <c r="J103" s="402"/>
      <c r="K103" s="477"/>
      <c r="L103" s="127"/>
    </row>
    <row r="104">
      <c r="A104" s="121"/>
      <c r="B104" s="122"/>
      <c r="D104" s="123"/>
      <c r="E104" s="239"/>
      <c r="F104" s="125"/>
      <c r="G104" s="125"/>
      <c r="I104" s="476"/>
      <c r="J104" s="402"/>
      <c r="K104" s="477"/>
      <c r="L104" s="127"/>
    </row>
    <row r="105">
      <c r="A105" s="121"/>
      <c r="B105" s="122"/>
      <c r="D105" s="123"/>
      <c r="E105" s="239"/>
      <c r="F105" s="125"/>
      <c r="G105" s="125"/>
      <c r="I105" s="476"/>
      <c r="J105" s="402"/>
      <c r="K105" s="477"/>
      <c r="L105" s="127"/>
    </row>
    <row r="106">
      <c r="A106" s="121"/>
      <c r="B106" s="122"/>
      <c r="D106" s="123"/>
      <c r="E106" s="239"/>
      <c r="F106" s="125"/>
      <c r="G106" s="125"/>
      <c r="I106" s="476"/>
      <c r="J106" s="402"/>
      <c r="K106" s="477"/>
      <c r="L106" s="127"/>
    </row>
    <row r="107">
      <c r="A107" s="121"/>
      <c r="B107" s="122"/>
      <c r="D107" s="123"/>
      <c r="E107" s="239"/>
      <c r="F107" s="125"/>
      <c r="G107" s="125"/>
      <c r="I107" s="476"/>
      <c r="J107" s="402"/>
      <c r="K107" s="477"/>
      <c r="L107" s="127"/>
    </row>
    <row r="108">
      <c r="A108" s="121"/>
      <c r="B108" s="122"/>
      <c r="D108" s="123"/>
      <c r="E108" s="239"/>
      <c r="F108" s="125"/>
      <c r="G108" s="125"/>
      <c r="I108" s="476"/>
      <c r="J108" s="402"/>
      <c r="K108" s="477"/>
      <c r="L108" s="127"/>
    </row>
    <row r="109">
      <c r="A109" s="121"/>
      <c r="B109" s="122"/>
      <c r="D109" s="123"/>
      <c r="E109" s="239"/>
      <c r="F109" s="125"/>
      <c r="G109" s="125"/>
      <c r="I109" s="476"/>
      <c r="J109" s="402"/>
      <c r="K109" s="477"/>
      <c r="L109" s="127"/>
    </row>
    <row r="110">
      <c r="A110" s="121"/>
      <c r="B110" s="122"/>
      <c r="D110" s="123"/>
      <c r="E110" s="239"/>
      <c r="F110" s="125"/>
      <c r="G110" s="125"/>
      <c r="I110" s="476"/>
      <c r="J110" s="402"/>
      <c r="K110" s="477"/>
      <c r="L110" s="127"/>
    </row>
    <row r="111">
      <c r="A111" s="121"/>
      <c r="B111" s="122"/>
      <c r="D111" s="123"/>
      <c r="E111" s="239"/>
      <c r="F111" s="125"/>
      <c r="G111" s="125"/>
      <c r="I111" s="476"/>
      <c r="J111" s="402"/>
      <c r="K111" s="477"/>
      <c r="L111" s="127"/>
    </row>
    <row r="112">
      <c r="A112" s="121"/>
      <c r="B112" s="122"/>
      <c r="D112" s="123"/>
      <c r="E112" s="239"/>
      <c r="F112" s="125"/>
      <c r="G112" s="125"/>
      <c r="I112" s="476"/>
      <c r="J112" s="402"/>
      <c r="K112" s="477"/>
      <c r="L112" s="127"/>
    </row>
    <row r="113">
      <c r="A113" s="121"/>
      <c r="B113" s="122"/>
      <c r="D113" s="123"/>
      <c r="E113" s="239"/>
      <c r="F113" s="125"/>
      <c r="G113" s="125"/>
      <c r="I113" s="476"/>
      <c r="J113" s="402"/>
      <c r="K113" s="477"/>
      <c r="L113" s="127"/>
    </row>
    <row r="114">
      <c r="A114" s="121"/>
      <c r="B114" s="122"/>
      <c r="D114" s="123"/>
      <c r="E114" s="239"/>
      <c r="F114" s="125"/>
      <c r="G114" s="125"/>
      <c r="I114" s="476"/>
      <c r="J114" s="402"/>
      <c r="K114" s="477"/>
      <c r="L114" s="127"/>
    </row>
    <row r="115">
      <c r="A115" s="121"/>
      <c r="B115" s="122"/>
      <c r="D115" s="123"/>
      <c r="E115" s="239"/>
      <c r="F115" s="125"/>
      <c r="G115" s="125"/>
      <c r="I115" s="476"/>
      <c r="J115" s="402"/>
      <c r="K115" s="477"/>
      <c r="L115" s="127"/>
    </row>
    <row r="116">
      <c r="A116" s="121"/>
      <c r="B116" s="122"/>
      <c r="D116" s="123"/>
      <c r="E116" s="239"/>
      <c r="F116" s="125"/>
      <c r="G116" s="125"/>
      <c r="I116" s="476"/>
      <c r="J116" s="402"/>
      <c r="K116" s="477"/>
      <c r="L116" s="127"/>
    </row>
    <row r="117">
      <c r="A117" s="121"/>
      <c r="B117" s="122"/>
      <c r="D117" s="123"/>
      <c r="E117" s="239"/>
      <c r="F117" s="125"/>
      <c r="G117" s="125"/>
      <c r="I117" s="476"/>
      <c r="J117" s="402"/>
      <c r="K117" s="477"/>
      <c r="L117" s="127"/>
    </row>
    <row r="118">
      <c r="A118" s="121"/>
      <c r="B118" s="122"/>
      <c r="D118" s="123"/>
      <c r="E118" s="239"/>
      <c r="F118" s="125"/>
      <c r="G118" s="125"/>
      <c r="I118" s="476"/>
      <c r="J118" s="402"/>
      <c r="K118" s="477"/>
      <c r="L118" s="127"/>
    </row>
    <row r="119">
      <c r="A119" s="121"/>
      <c r="B119" s="122"/>
      <c r="D119" s="123"/>
      <c r="E119" s="239"/>
      <c r="F119" s="125"/>
      <c r="G119" s="125"/>
      <c r="I119" s="476"/>
      <c r="J119" s="402"/>
      <c r="K119" s="477"/>
      <c r="L119" s="127"/>
    </row>
    <row r="120">
      <c r="A120" s="121"/>
      <c r="B120" s="122"/>
      <c r="D120" s="123"/>
      <c r="E120" s="239"/>
      <c r="F120" s="125"/>
      <c r="G120" s="125"/>
      <c r="I120" s="476"/>
      <c r="J120" s="402"/>
      <c r="K120" s="477"/>
      <c r="L120" s="127"/>
    </row>
    <row r="121">
      <c r="A121" s="121"/>
      <c r="B121" s="122"/>
      <c r="D121" s="123"/>
      <c r="E121" s="239"/>
      <c r="F121" s="125"/>
      <c r="G121" s="125"/>
      <c r="I121" s="476"/>
      <c r="J121" s="402"/>
      <c r="K121" s="477"/>
      <c r="L121" s="127"/>
    </row>
    <row r="122">
      <c r="A122" s="121"/>
      <c r="B122" s="122"/>
      <c r="D122" s="123"/>
      <c r="E122" s="239"/>
      <c r="F122" s="125"/>
      <c r="G122" s="125"/>
      <c r="I122" s="476"/>
      <c r="J122" s="402"/>
      <c r="K122" s="477"/>
      <c r="L122" s="127"/>
    </row>
    <row r="123">
      <c r="A123" s="121"/>
      <c r="B123" s="122"/>
      <c r="D123" s="123"/>
      <c r="E123" s="239"/>
      <c r="F123" s="125"/>
      <c r="G123" s="125"/>
      <c r="I123" s="476"/>
      <c r="J123" s="402"/>
      <c r="K123" s="477"/>
      <c r="L123" s="127"/>
    </row>
    <row r="124">
      <c r="A124" s="121"/>
      <c r="B124" s="122"/>
      <c r="D124" s="123"/>
      <c r="E124" s="239"/>
      <c r="F124" s="125"/>
      <c r="G124" s="125"/>
      <c r="I124" s="476"/>
      <c r="J124" s="402"/>
      <c r="K124" s="477"/>
      <c r="L124" s="127"/>
    </row>
    <row r="125">
      <c r="A125" s="121"/>
      <c r="B125" s="122"/>
      <c r="D125" s="123"/>
      <c r="E125" s="239"/>
      <c r="F125" s="125"/>
      <c r="G125" s="125"/>
      <c r="I125" s="476"/>
      <c r="J125" s="402"/>
      <c r="K125" s="477"/>
      <c r="L125" s="127"/>
    </row>
    <row r="126">
      <c r="A126" s="121"/>
      <c r="B126" s="122"/>
      <c r="D126" s="123"/>
      <c r="E126" s="239"/>
      <c r="F126" s="125"/>
      <c r="G126" s="125"/>
      <c r="I126" s="476"/>
      <c r="J126" s="402"/>
      <c r="K126" s="477"/>
      <c r="L126" s="127"/>
    </row>
    <row r="127">
      <c r="A127" s="121"/>
      <c r="B127" s="122"/>
      <c r="D127" s="123"/>
      <c r="E127" s="239"/>
      <c r="F127" s="125"/>
      <c r="G127" s="125"/>
      <c r="I127" s="476"/>
      <c r="J127" s="402"/>
      <c r="K127" s="477"/>
      <c r="L127" s="127"/>
    </row>
    <row r="128">
      <c r="A128" s="121"/>
      <c r="B128" s="122"/>
      <c r="D128" s="123"/>
      <c r="E128" s="239"/>
      <c r="F128" s="125"/>
      <c r="G128" s="125"/>
      <c r="I128" s="476"/>
      <c r="J128" s="402"/>
      <c r="K128" s="477"/>
      <c r="L128" s="127"/>
    </row>
    <row r="129">
      <c r="A129" s="121"/>
      <c r="B129" s="122"/>
      <c r="D129" s="123"/>
      <c r="E129" s="239"/>
      <c r="F129" s="125"/>
      <c r="G129" s="125"/>
      <c r="I129" s="476"/>
      <c r="J129" s="402"/>
      <c r="K129" s="477"/>
      <c r="L129" s="127"/>
    </row>
    <row r="130">
      <c r="A130" s="121"/>
      <c r="B130" s="122"/>
      <c r="D130" s="123"/>
      <c r="E130" s="239"/>
      <c r="F130" s="125"/>
      <c r="G130" s="125"/>
      <c r="I130" s="476"/>
      <c r="J130" s="402"/>
      <c r="K130" s="477"/>
      <c r="L130" s="127"/>
    </row>
    <row r="131">
      <c r="A131" s="121"/>
      <c r="B131" s="122"/>
      <c r="D131" s="123"/>
      <c r="E131" s="239"/>
      <c r="F131" s="125"/>
      <c r="G131" s="125"/>
      <c r="I131" s="476"/>
      <c r="J131" s="402"/>
      <c r="K131" s="477"/>
      <c r="L131" s="127"/>
    </row>
    <row r="132">
      <c r="A132" s="121"/>
      <c r="B132" s="122"/>
      <c r="D132" s="123"/>
      <c r="E132" s="239"/>
      <c r="F132" s="125"/>
      <c r="G132" s="125"/>
      <c r="I132" s="476"/>
      <c r="J132" s="402"/>
      <c r="K132" s="477"/>
      <c r="L132" s="127"/>
    </row>
    <row r="133">
      <c r="A133" s="121"/>
      <c r="B133" s="122"/>
      <c r="D133" s="123"/>
      <c r="E133" s="239"/>
      <c r="F133" s="125"/>
      <c r="G133" s="125"/>
      <c r="I133" s="476"/>
      <c r="J133" s="402"/>
      <c r="K133" s="477"/>
      <c r="L133" s="127"/>
    </row>
    <row r="134">
      <c r="A134" s="121"/>
      <c r="B134" s="122"/>
      <c r="D134" s="123"/>
      <c r="E134" s="239"/>
      <c r="F134" s="125"/>
      <c r="G134" s="125"/>
      <c r="I134" s="476"/>
      <c r="J134" s="402"/>
      <c r="K134" s="477"/>
      <c r="L134" s="127"/>
    </row>
    <row r="135">
      <c r="A135" s="121"/>
      <c r="B135" s="122"/>
      <c r="D135" s="123"/>
      <c r="E135" s="239"/>
      <c r="F135" s="125"/>
      <c r="G135" s="125"/>
      <c r="I135" s="476"/>
      <c r="J135" s="402"/>
      <c r="K135" s="477"/>
      <c r="L135" s="127"/>
    </row>
    <row r="136">
      <c r="A136" s="121"/>
      <c r="B136" s="122"/>
      <c r="D136" s="123"/>
      <c r="E136" s="239"/>
      <c r="F136" s="125"/>
      <c r="G136" s="125"/>
      <c r="I136" s="476"/>
      <c r="J136" s="402"/>
      <c r="K136" s="477"/>
      <c r="L136" s="127"/>
    </row>
    <row r="137">
      <c r="A137" s="121"/>
      <c r="B137" s="122"/>
      <c r="D137" s="123"/>
      <c r="E137" s="239"/>
      <c r="F137" s="125"/>
      <c r="G137" s="125"/>
      <c r="I137" s="476"/>
      <c r="J137" s="402"/>
      <c r="K137" s="477"/>
      <c r="L137" s="127"/>
    </row>
    <row r="138">
      <c r="A138" s="121"/>
      <c r="B138" s="122"/>
      <c r="D138" s="123"/>
      <c r="E138" s="239"/>
      <c r="F138" s="125"/>
      <c r="G138" s="125"/>
      <c r="I138" s="476"/>
      <c r="J138" s="402"/>
      <c r="K138" s="477"/>
      <c r="L138" s="127"/>
    </row>
    <row r="139">
      <c r="A139" s="121"/>
      <c r="B139" s="122"/>
      <c r="D139" s="123"/>
      <c r="E139" s="239"/>
      <c r="F139" s="125"/>
      <c r="G139" s="125"/>
      <c r="I139" s="476"/>
      <c r="J139" s="402"/>
      <c r="K139" s="477"/>
      <c r="L139" s="127"/>
    </row>
    <row r="140">
      <c r="A140" s="121"/>
      <c r="B140" s="122"/>
      <c r="D140" s="123"/>
      <c r="E140" s="239"/>
      <c r="F140" s="125"/>
      <c r="G140" s="125"/>
      <c r="I140" s="476"/>
      <c r="J140" s="402"/>
      <c r="K140" s="477"/>
      <c r="L140" s="127"/>
    </row>
    <row r="141">
      <c r="A141" s="121"/>
      <c r="B141" s="122"/>
      <c r="D141" s="123"/>
      <c r="E141" s="239"/>
      <c r="F141" s="125"/>
      <c r="G141" s="125"/>
      <c r="I141" s="476"/>
      <c r="J141" s="402"/>
      <c r="K141" s="477"/>
      <c r="L141" s="127"/>
    </row>
    <row r="142">
      <c r="A142" s="121"/>
      <c r="B142" s="122"/>
      <c r="D142" s="123"/>
      <c r="E142" s="239"/>
      <c r="F142" s="125"/>
      <c r="G142" s="125"/>
      <c r="I142" s="476"/>
      <c r="J142" s="402"/>
      <c r="K142" s="477"/>
      <c r="L142" s="127"/>
    </row>
    <row r="143">
      <c r="A143" s="121"/>
      <c r="B143" s="122"/>
      <c r="D143" s="123"/>
      <c r="E143" s="239"/>
      <c r="F143" s="125"/>
      <c r="G143" s="125"/>
      <c r="I143" s="476"/>
      <c r="J143" s="402"/>
      <c r="K143" s="477"/>
      <c r="L143" s="127"/>
    </row>
    <row r="144">
      <c r="A144" s="121"/>
      <c r="B144" s="122"/>
      <c r="D144" s="123"/>
      <c r="E144" s="239"/>
      <c r="F144" s="125"/>
      <c r="G144" s="125"/>
      <c r="I144" s="476"/>
      <c r="J144" s="402"/>
      <c r="K144" s="477"/>
      <c r="L144" s="127"/>
    </row>
    <row r="145">
      <c r="A145" s="121"/>
      <c r="B145" s="122"/>
      <c r="D145" s="123"/>
      <c r="E145" s="239"/>
      <c r="F145" s="125"/>
      <c r="G145" s="125"/>
      <c r="I145" s="476"/>
      <c r="J145" s="402"/>
      <c r="K145" s="477"/>
      <c r="L145" s="127"/>
    </row>
    <row r="146">
      <c r="A146" s="121"/>
      <c r="B146" s="122"/>
      <c r="D146" s="123"/>
      <c r="E146" s="239"/>
      <c r="F146" s="125"/>
      <c r="G146" s="125"/>
      <c r="I146" s="476"/>
      <c r="J146" s="402"/>
      <c r="K146" s="477"/>
      <c r="L146" s="127"/>
    </row>
    <row r="147">
      <c r="A147" s="121"/>
      <c r="B147" s="122"/>
      <c r="D147" s="123"/>
      <c r="E147" s="239"/>
      <c r="F147" s="125"/>
      <c r="G147" s="125"/>
      <c r="I147" s="476"/>
      <c r="J147" s="402"/>
      <c r="K147" s="477"/>
      <c r="L147" s="127"/>
    </row>
    <row r="148">
      <c r="A148" s="121"/>
      <c r="B148" s="122"/>
      <c r="D148" s="123"/>
      <c r="E148" s="239"/>
      <c r="F148" s="125"/>
      <c r="G148" s="125"/>
      <c r="I148" s="476"/>
      <c r="J148" s="402"/>
      <c r="K148" s="477"/>
      <c r="L148" s="127"/>
    </row>
    <row r="149">
      <c r="A149" s="121"/>
      <c r="B149" s="122"/>
      <c r="D149" s="123"/>
      <c r="E149" s="239"/>
      <c r="F149" s="125"/>
      <c r="G149" s="125"/>
      <c r="I149" s="476"/>
      <c r="J149" s="402"/>
      <c r="K149" s="477"/>
      <c r="L149" s="127"/>
    </row>
    <row r="150">
      <c r="A150" s="121"/>
      <c r="B150" s="122"/>
      <c r="D150" s="123"/>
      <c r="E150" s="239"/>
      <c r="F150" s="125"/>
      <c r="G150" s="125"/>
      <c r="I150" s="476"/>
      <c r="J150" s="402"/>
      <c r="K150" s="477"/>
      <c r="L150" s="127"/>
    </row>
    <row r="151">
      <c r="A151" s="121"/>
      <c r="B151" s="122"/>
      <c r="D151" s="123"/>
      <c r="E151" s="239"/>
      <c r="F151" s="125"/>
      <c r="G151" s="125"/>
      <c r="I151" s="476"/>
      <c r="J151" s="402"/>
      <c r="K151" s="477"/>
      <c r="L151" s="127"/>
    </row>
    <row r="152">
      <c r="A152" s="121"/>
      <c r="B152" s="122"/>
      <c r="D152" s="123"/>
      <c r="E152" s="239"/>
      <c r="F152" s="125"/>
      <c r="G152" s="125"/>
      <c r="I152" s="476"/>
      <c r="J152" s="402"/>
      <c r="K152" s="477"/>
      <c r="L152" s="127"/>
    </row>
    <row r="153">
      <c r="A153" s="121"/>
      <c r="B153" s="122"/>
      <c r="D153" s="123"/>
      <c r="E153" s="239"/>
      <c r="F153" s="125"/>
      <c r="G153" s="125"/>
      <c r="I153" s="476"/>
      <c r="J153" s="402"/>
      <c r="K153" s="477"/>
      <c r="L153" s="127"/>
    </row>
    <row r="154">
      <c r="A154" s="121"/>
      <c r="B154" s="122"/>
      <c r="D154" s="123"/>
      <c r="E154" s="239"/>
      <c r="F154" s="125"/>
      <c r="G154" s="125"/>
      <c r="I154" s="476"/>
      <c r="J154" s="402"/>
      <c r="K154" s="477"/>
      <c r="L154" s="127"/>
    </row>
    <row r="155">
      <c r="A155" s="121"/>
      <c r="B155" s="122"/>
      <c r="D155" s="123"/>
      <c r="E155" s="239"/>
      <c r="F155" s="125"/>
      <c r="G155" s="125"/>
      <c r="I155" s="476"/>
      <c r="J155" s="402"/>
      <c r="K155" s="477"/>
      <c r="L155" s="127"/>
    </row>
    <row r="156">
      <c r="A156" s="121"/>
      <c r="B156" s="122"/>
      <c r="D156" s="123"/>
      <c r="E156" s="239"/>
      <c r="F156" s="125"/>
      <c r="G156" s="125"/>
      <c r="I156" s="476"/>
      <c r="J156" s="402"/>
      <c r="K156" s="477"/>
      <c r="L156" s="127"/>
    </row>
    <row r="157">
      <c r="A157" s="121"/>
      <c r="B157" s="122"/>
      <c r="D157" s="123"/>
      <c r="E157" s="239"/>
      <c r="F157" s="125"/>
      <c r="G157" s="125"/>
      <c r="I157" s="476"/>
      <c r="J157" s="402"/>
      <c r="K157" s="477"/>
      <c r="L157" s="127"/>
    </row>
    <row r="158">
      <c r="A158" s="121"/>
      <c r="B158" s="122"/>
      <c r="D158" s="123"/>
      <c r="E158" s="239"/>
      <c r="F158" s="125"/>
      <c r="G158" s="125"/>
      <c r="I158" s="476"/>
      <c r="J158" s="402"/>
      <c r="K158" s="477"/>
      <c r="L158" s="127"/>
    </row>
    <row r="159">
      <c r="A159" s="121"/>
      <c r="B159" s="122"/>
      <c r="D159" s="123"/>
      <c r="E159" s="239"/>
      <c r="F159" s="125"/>
      <c r="G159" s="125"/>
      <c r="I159" s="476"/>
      <c r="J159" s="402"/>
      <c r="K159" s="477"/>
      <c r="L159" s="127"/>
    </row>
    <row r="160">
      <c r="A160" s="121"/>
      <c r="B160" s="122"/>
      <c r="D160" s="123"/>
      <c r="E160" s="239"/>
      <c r="F160" s="125"/>
      <c r="G160" s="125"/>
      <c r="I160" s="476"/>
      <c r="J160" s="402"/>
      <c r="K160" s="477"/>
      <c r="L160" s="127"/>
    </row>
    <row r="161">
      <c r="A161" s="121"/>
      <c r="B161" s="122"/>
      <c r="D161" s="123"/>
      <c r="E161" s="239"/>
      <c r="F161" s="125"/>
      <c r="G161" s="125"/>
      <c r="I161" s="476"/>
      <c r="J161" s="402"/>
      <c r="K161" s="477"/>
      <c r="L161" s="127"/>
    </row>
    <row r="162">
      <c r="A162" s="121"/>
      <c r="B162" s="122"/>
      <c r="D162" s="123"/>
      <c r="E162" s="239"/>
      <c r="F162" s="125"/>
      <c r="G162" s="125"/>
      <c r="I162" s="476"/>
      <c r="J162" s="402"/>
      <c r="K162" s="477"/>
      <c r="L162" s="127"/>
    </row>
    <row r="163">
      <c r="A163" s="121"/>
      <c r="B163" s="122"/>
      <c r="D163" s="123"/>
      <c r="E163" s="239"/>
      <c r="F163" s="125"/>
      <c r="G163" s="125"/>
      <c r="I163" s="476"/>
      <c r="J163" s="402"/>
      <c r="K163" s="477"/>
      <c r="L163" s="127"/>
    </row>
    <row r="164">
      <c r="A164" s="121"/>
      <c r="B164" s="122"/>
      <c r="D164" s="123"/>
      <c r="E164" s="239"/>
      <c r="F164" s="125"/>
      <c r="G164" s="125"/>
      <c r="I164" s="476"/>
      <c r="J164" s="402"/>
      <c r="K164" s="477"/>
      <c r="L164" s="127"/>
    </row>
    <row r="165">
      <c r="A165" s="121"/>
      <c r="B165" s="122"/>
      <c r="D165" s="123"/>
      <c r="E165" s="239"/>
      <c r="F165" s="125"/>
      <c r="G165" s="125"/>
      <c r="I165" s="476"/>
      <c r="J165" s="402"/>
      <c r="K165" s="477"/>
      <c r="L165" s="127"/>
    </row>
    <row r="166">
      <c r="A166" s="121"/>
      <c r="B166" s="122"/>
      <c r="D166" s="123"/>
      <c r="E166" s="239"/>
      <c r="F166" s="125"/>
      <c r="G166" s="125"/>
      <c r="I166" s="476"/>
      <c r="J166" s="402"/>
      <c r="K166" s="477"/>
      <c r="L166" s="127"/>
    </row>
    <row r="167">
      <c r="A167" s="121"/>
      <c r="B167" s="122"/>
      <c r="D167" s="123"/>
      <c r="E167" s="239"/>
      <c r="F167" s="125"/>
      <c r="G167" s="125"/>
      <c r="I167" s="476"/>
      <c r="J167" s="402"/>
      <c r="K167" s="477"/>
      <c r="L167" s="127"/>
    </row>
    <row r="168">
      <c r="A168" s="121"/>
      <c r="B168" s="122"/>
      <c r="D168" s="123"/>
      <c r="E168" s="239"/>
      <c r="F168" s="125"/>
      <c r="G168" s="125"/>
      <c r="I168" s="476"/>
      <c r="J168" s="402"/>
      <c r="K168" s="477"/>
      <c r="L168" s="127"/>
    </row>
    <row r="169">
      <c r="A169" s="121"/>
      <c r="B169" s="122"/>
      <c r="D169" s="123"/>
      <c r="E169" s="239"/>
      <c r="F169" s="125"/>
      <c r="G169" s="125"/>
      <c r="I169" s="476"/>
      <c r="J169" s="402"/>
      <c r="K169" s="477"/>
      <c r="L169" s="127"/>
    </row>
    <row r="170">
      <c r="A170" s="121"/>
      <c r="B170" s="122"/>
      <c r="D170" s="123"/>
      <c r="E170" s="239"/>
      <c r="F170" s="125"/>
      <c r="G170" s="125"/>
      <c r="I170" s="476"/>
      <c r="J170" s="402"/>
      <c r="K170" s="477"/>
      <c r="L170" s="127"/>
    </row>
    <row r="171">
      <c r="A171" s="121"/>
      <c r="B171" s="122"/>
      <c r="D171" s="123"/>
      <c r="E171" s="239"/>
      <c r="F171" s="125"/>
      <c r="G171" s="125"/>
      <c r="I171" s="476"/>
      <c r="J171" s="402"/>
      <c r="K171" s="477"/>
      <c r="L171" s="127"/>
    </row>
    <row r="172">
      <c r="A172" s="121"/>
      <c r="B172" s="122"/>
      <c r="D172" s="123"/>
      <c r="E172" s="239"/>
      <c r="F172" s="125"/>
      <c r="G172" s="125"/>
      <c r="I172" s="476"/>
      <c r="J172" s="402"/>
      <c r="K172" s="477"/>
      <c r="L172" s="127"/>
    </row>
    <row r="173">
      <c r="A173" s="121"/>
      <c r="B173" s="122"/>
      <c r="D173" s="123"/>
      <c r="E173" s="239"/>
      <c r="F173" s="125"/>
      <c r="G173" s="125"/>
      <c r="I173" s="476"/>
      <c r="J173" s="402"/>
      <c r="K173" s="477"/>
      <c r="L173" s="127"/>
    </row>
    <row r="174">
      <c r="A174" s="121"/>
      <c r="B174" s="122"/>
      <c r="D174" s="123"/>
      <c r="E174" s="239"/>
      <c r="F174" s="125"/>
      <c r="G174" s="125"/>
      <c r="I174" s="476"/>
      <c r="J174" s="402"/>
      <c r="K174" s="477"/>
      <c r="L174" s="127"/>
    </row>
    <row r="175">
      <c r="A175" s="121"/>
      <c r="B175" s="122"/>
      <c r="D175" s="123"/>
      <c r="E175" s="239"/>
      <c r="F175" s="125"/>
      <c r="G175" s="125"/>
      <c r="I175" s="476"/>
      <c r="J175" s="402"/>
      <c r="K175" s="477"/>
      <c r="L175" s="127"/>
    </row>
    <row r="176">
      <c r="A176" s="121"/>
      <c r="B176" s="122"/>
      <c r="D176" s="123"/>
      <c r="E176" s="239"/>
      <c r="F176" s="125"/>
      <c r="G176" s="125"/>
      <c r="I176" s="476"/>
      <c r="J176" s="402"/>
      <c r="K176" s="477"/>
      <c r="L176" s="127"/>
    </row>
    <row r="177">
      <c r="A177" s="121"/>
      <c r="B177" s="122"/>
      <c r="D177" s="123"/>
      <c r="E177" s="239"/>
      <c r="F177" s="125"/>
      <c r="G177" s="125"/>
      <c r="I177" s="476"/>
      <c r="J177" s="402"/>
      <c r="K177" s="477"/>
      <c r="L177" s="127"/>
    </row>
    <row r="178">
      <c r="A178" s="121"/>
      <c r="B178" s="122"/>
      <c r="D178" s="123"/>
      <c r="E178" s="239"/>
      <c r="F178" s="125"/>
      <c r="G178" s="125"/>
      <c r="I178" s="476"/>
      <c r="J178" s="402"/>
      <c r="K178" s="477"/>
      <c r="L178" s="127"/>
    </row>
    <row r="179">
      <c r="A179" s="121"/>
      <c r="B179" s="122"/>
      <c r="D179" s="123"/>
      <c r="E179" s="239"/>
      <c r="F179" s="125"/>
      <c r="G179" s="125"/>
      <c r="I179" s="476"/>
      <c r="J179" s="402"/>
      <c r="K179" s="477"/>
      <c r="L179" s="127"/>
    </row>
    <row r="180">
      <c r="A180" s="121"/>
      <c r="B180" s="122"/>
      <c r="D180" s="123"/>
      <c r="E180" s="239"/>
      <c r="F180" s="125"/>
      <c r="G180" s="125"/>
      <c r="I180" s="476"/>
      <c r="J180" s="402"/>
      <c r="K180" s="477"/>
      <c r="L180" s="127"/>
    </row>
    <row r="181">
      <c r="A181" s="121"/>
      <c r="B181" s="122"/>
      <c r="D181" s="123"/>
      <c r="E181" s="239"/>
      <c r="F181" s="125"/>
      <c r="G181" s="125"/>
      <c r="I181" s="476"/>
      <c r="J181" s="402"/>
      <c r="K181" s="477"/>
      <c r="L181" s="127"/>
    </row>
    <row r="182">
      <c r="A182" s="121"/>
      <c r="B182" s="122"/>
      <c r="D182" s="123"/>
      <c r="E182" s="239"/>
      <c r="F182" s="125"/>
      <c r="G182" s="125"/>
      <c r="I182" s="476"/>
      <c r="J182" s="402"/>
      <c r="K182" s="477"/>
      <c r="L182" s="127"/>
    </row>
    <row r="183">
      <c r="A183" s="121"/>
      <c r="B183" s="122"/>
      <c r="D183" s="123"/>
      <c r="E183" s="239"/>
      <c r="F183" s="125"/>
      <c r="G183" s="125"/>
      <c r="I183" s="476"/>
      <c r="J183" s="402"/>
      <c r="K183" s="477"/>
      <c r="L183" s="127"/>
    </row>
    <row r="184">
      <c r="A184" s="121"/>
      <c r="B184" s="122"/>
      <c r="D184" s="123"/>
      <c r="E184" s="239"/>
      <c r="F184" s="125"/>
      <c r="G184" s="125"/>
      <c r="I184" s="476"/>
      <c r="J184" s="402"/>
      <c r="K184" s="477"/>
      <c r="L184" s="127"/>
    </row>
    <row r="185">
      <c r="A185" s="121"/>
      <c r="B185" s="122"/>
      <c r="D185" s="123"/>
      <c r="E185" s="239"/>
      <c r="F185" s="125"/>
      <c r="G185" s="125"/>
      <c r="I185" s="476"/>
      <c r="J185" s="402"/>
      <c r="K185" s="477"/>
      <c r="L185" s="127"/>
    </row>
    <row r="186">
      <c r="A186" s="121"/>
      <c r="B186" s="122"/>
      <c r="D186" s="123"/>
      <c r="E186" s="239"/>
      <c r="F186" s="125"/>
      <c r="G186" s="125"/>
      <c r="I186" s="476"/>
      <c r="J186" s="402"/>
      <c r="K186" s="477"/>
      <c r="L186" s="127"/>
    </row>
    <row r="187">
      <c r="A187" s="121"/>
      <c r="B187" s="122"/>
      <c r="D187" s="123"/>
      <c r="E187" s="239"/>
      <c r="F187" s="125"/>
      <c r="G187" s="125"/>
      <c r="I187" s="476"/>
      <c r="J187" s="402"/>
      <c r="K187" s="477"/>
      <c r="L187" s="127"/>
    </row>
    <row r="188">
      <c r="A188" s="121"/>
      <c r="B188" s="122"/>
      <c r="D188" s="123"/>
      <c r="E188" s="239"/>
      <c r="F188" s="125"/>
      <c r="G188" s="125"/>
      <c r="I188" s="476"/>
      <c r="J188" s="402"/>
      <c r="K188" s="477"/>
      <c r="L188" s="127"/>
    </row>
    <row r="189">
      <c r="A189" s="121"/>
      <c r="B189" s="122"/>
      <c r="D189" s="123"/>
      <c r="E189" s="239"/>
      <c r="F189" s="125"/>
      <c r="G189" s="125"/>
      <c r="I189" s="476"/>
      <c r="J189" s="402"/>
      <c r="K189" s="477"/>
      <c r="L189" s="127"/>
    </row>
    <row r="190">
      <c r="A190" s="121"/>
      <c r="B190" s="122"/>
      <c r="D190" s="123"/>
      <c r="E190" s="239"/>
      <c r="F190" s="125"/>
      <c r="G190" s="125"/>
      <c r="I190" s="476"/>
      <c r="J190" s="402"/>
      <c r="K190" s="477"/>
      <c r="L190" s="127"/>
    </row>
    <row r="191">
      <c r="A191" s="121"/>
      <c r="B191" s="122"/>
      <c r="D191" s="123"/>
      <c r="E191" s="239"/>
      <c r="F191" s="125"/>
      <c r="G191" s="125"/>
      <c r="I191" s="476"/>
      <c r="J191" s="402"/>
      <c r="K191" s="477"/>
      <c r="L191" s="127"/>
    </row>
    <row r="192">
      <c r="A192" s="121"/>
      <c r="B192" s="122"/>
      <c r="D192" s="123"/>
      <c r="E192" s="239"/>
      <c r="F192" s="125"/>
      <c r="G192" s="125"/>
      <c r="I192" s="476"/>
      <c r="J192" s="402"/>
      <c r="K192" s="477"/>
      <c r="L192" s="127"/>
    </row>
    <row r="193">
      <c r="A193" s="121"/>
      <c r="B193" s="122"/>
      <c r="D193" s="123"/>
      <c r="E193" s="239"/>
      <c r="F193" s="125"/>
      <c r="G193" s="125"/>
      <c r="I193" s="476"/>
      <c r="J193" s="402"/>
      <c r="K193" s="477"/>
      <c r="L193" s="127"/>
    </row>
    <row r="194">
      <c r="A194" s="121"/>
      <c r="B194" s="122"/>
      <c r="D194" s="123"/>
      <c r="E194" s="239"/>
      <c r="F194" s="125"/>
      <c r="G194" s="125"/>
      <c r="I194" s="476"/>
      <c r="J194" s="402"/>
      <c r="K194" s="477"/>
      <c r="L194" s="127"/>
    </row>
    <row r="195">
      <c r="A195" s="121"/>
      <c r="B195" s="122"/>
      <c r="D195" s="123"/>
      <c r="E195" s="239"/>
      <c r="F195" s="125"/>
      <c r="G195" s="125"/>
      <c r="I195" s="476"/>
      <c r="J195" s="402"/>
      <c r="K195" s="477"/>
      <c r="L195" s="127"/>
    </row>
    <row r="196">
      <c r="A196" s="121"/>
      <c r="B196" s="122"/>
      <c r="D196" s="123"/>
      <c r="E196" s="239"/>
      <c r="F196" s="125"/>
      <c r="G196" s="125"/>
      <c r="I196" s="476"/>
      <c r="J196" s="402"/>
      <c r="K196" s="477"/>
      <c r="L196" s="127"/>
    </row>
    <row r="197">
      <c r="A197" s="121"/>
      <c r="B197" s="122"/>
      <c r="D197" s="123"/>
      <c r="E197" s="239"/>
      <c r="F197" s="125"/>
      <c r="G197" s="125"/>
      <c r="I197" s="476"/>
      <c r="J197" s="402"/>
      <c r="K197" s="477"/>
      <c r="L197" s="127"/>
    </row>
    <row r="198">
      <c r="A198" s="121"/>
      <c r="B198" s="122"/>
      <c r="D198" s="123"/>
      <c r="E198" s="239"/>
      <c r="F198" s="125"/>
      <c r="G198" s="125"/>
      <c r="I198" s="476"/>
      <c r="J198" s="402"/>
      <c r="K198" s="477"/>
      <c r="L198" s="127"/>
    </row>
    <row r="199">
      <c r="A199" s="121"/>
      <c r="B199" s="122"/>
      <c r="D199" s="123"/>
      <c r="E199" s="239"/>
      <c r="F199" s="125"/>
      <c r="G199" s="125"/>
      <c r="I199" s="476"/>
      <c r="J199" s="402"/>
      <c r="K199" s="477"/>
      <c r="L199" s="127"/>
    </row>
    <row r="200">
      <c r="A200" s="121"/>
      <c r="B200" s="122"/>
      <c r="D200" s="123"/>
      <c r="E200" s="239"/>
      <c r="F200" s="125"/>
      <c r="G200" s="125"/>
      <c r="I200" s="476"/>
      <c r="J200" s="402"/>
      <c r="K200" s="477"/>
      <c r="L200" s="127"/>
    </row>
    <row r="201">
      <c r="A201" s="121"/>
      <c r="B201" s="122"/>
      <c r="D201" s="123"/>
      <c r="E201" s="239"/>
      <c r="F201" s="125"/>
      <c r="G201" s="125"/>
      <c r="I201" s="476"/>
      <c r="J201" s="402"/>
      <c r="K201" s="477"/>
      <c r="L201" s="127"/>
    </row>
    <row r="202">
      <c r="A202" s="121"/>
      <c r="B202" s="122"/>
      <c r="D202" s="123"/>
      <c r="E202" s="239"/>
      <c r="F202" s="125"/>
      <c r="G202" s="125"/>
      <c r="I202" s="476"/>
      <c r="J202" s="402"/>
      <c r="K202" s="477"/>
      <c r="L202" s="127"/>
    </row>
    <row r="203">
      <c r="A203" s="121"/>
      <c r="B203" s="122"/>
      <c r="D203" s="123"/>
      <c r="E203" s="239"/>
      <c r="F203" s="125"/>
      <c r="G203" s="125"/>
      <c r="I203" s="476"/>
      <c r="J203" s="402"/>
      <c r="K203" s="477"/>
      <c r="L203" s="127"/>
    </row>
    <row r="204">
      <c r="A204" s="121"/>
      <c r="B204" s="122"/>
      <c r="D204" s="123"/>
      <c r="E204" s="239"/>
      <c r="F204" s="125"/>
      <c r="G204" s="125"/>
      <c r="I204" s="476"/>
      <c r="J204" s="402"/>
      <c r="K204" s="477"/>
      <c r="L204" s="127"/>
    </row>
    <row r="205">
      <c r="A205" s="121"/>
      <c r="B205" s="122"/>
      <c r="D205" s="123"/>
      <c r="E205" s="239"/>
      <c r="F205" s="125"/>
      <c r="G205" s="125"/>
      <c r="I205" s="476"/>
      <c r="J205" s="402"/>
      <c r="K205" s="477"/>
      <c r="L205" s="127"/>
    </row>
    <row r="206">
      <c r="A206" s="121"/>
      <c r="B206" s="122"/>
      <c r="D206" s="123"/>
      <c r="E206" s="239"/>
      <c r="F206" s="125"/>
      <c r="G206" s="125"/>
      <c r="I206" s="476"/>
      <c r="J206" s="402"/>
      <c r="K206" s="477"/>
      <c r="L206" s="127"/>
    </row>
    <row r="207">
      <c r="A207" s="121"/>
      <c r="B207" s="122"/>
      <c r="D207" s="123"/>
      <c r="E207" s="239"/>
      <c r="F207" s="125"/>
      <c r="G207" s="125"/>
      <c r="I207" s="476"/>
      <c r="J207" s="402"/>
      <c r="K207" s="477"/>
      <c r="L207" s="127"/>
    </row>
    <row r="208">
      <c r="A208" s="121"/>
      <c r="B208" s="122"/>
      <c r="D208" s="123"/>
      <c r="E208" s="239"/>
      <c r="F208" s="125"/>
      <c r="G208" s="125"/>
      <c r="I208" s="476"/>
      <c r="J208" s="402"/>
      <c r="K208" s="477"/>
      <c r="L208" s="127"/>
    </row>
    <row r="209">
      <c r="A209" s="121"/>
      <c r="B209" s="122"/>
      <c r="D209" s="123"/>
      <c r="E209" s="239"/>
      <c r="F209" s="125"/>
      <c r="G209" s="125"/>
      <c r="I209" s="476"/>
      <c r="J209" s="402"/>
      <c r="K209" s="477"/>
      <c r="L209" s="127"/>
    </row>
    <row r="210">
      <c r="A210" s="121"/>
      <c r="B210" s="122"/>
      <c r="D210" s="123"/>
      <c r="E210" s="239"/>
      <c r="F210" s="125"/>
      <c r="G210" s="125"/>
      <c r="I210" s="476"/>
      <c r="J210" s="402"/>
      <c r="K210" s="477"/>
      <c r="L210" s="127"/>
    </row>
    <row r="211">
      <c r="A211" s="121"/>
      <c r="B211" s="122"/>
      <c r="D211" s="123"/>
      <c r="E211" s="239"/>
      <c r="F211" s="125"/>
      <c r="G211" s="125"/>
      <c r="I211" s="476"/>
      <c r="J211" s="402"/>
      <c r="K211" s="477"/>
      <c r="L211" s="127"/>
    </row>
    <row r="212">
      <c r="A212" s="121"/>
      <c r="B212" s="122"/>
      <c r="D212" s="123"/>
      <c r="E212" s="239"/>
      <c r="F212" s="125"/>
      <c r="G212" s="125"/>
      <c r="I212" s="476"/>
      <c r="J212" s="402"/>
      <c r="K212" s="477"/>
      <c r="L212" s="127"/>
    </row>
    <row r="213">
      <c r="A213" s="121"/>
      <c r="B213" s="122"/>
      <c r="D213" s="123"/>
      <c r="E213" s="239"/>
      <c r="F213" s="125"/>
      <c r="G213" s="125"/>
      <c r="I213" s="476"/>
      <c r="J213" s="402"/>
      <c r="K213" s="477"/>
      <c r="L213" s="127"/>
    </row>
    <row r="214">
      <c r="A214" s="121"/>
      <c r="B214" s="122"/>
      <c r="D214" s="123"/>
      <c r="E214" s="239"/>
      <c r="F214" s="125"/>
      <c r="G214" s="125"/>
      <c r="I214" s="476"/>
      <c r="J214" s="402"/>
      <c r="K214" s="477"/>
      <c r="L214" s="127"/>
    </row>
    <row r="215">
      <c r="A215" s="121"/>
      <c r="B215" s="122"/>
      <c r="D215" s="123"/>
      <c r="E215" s="239"/>
      <c r="F215" s="125"/>
      <c r="G215" s="125"/>
      <c r="I215" s="476"/>
      <c r="J215" s="402"/>
      <c r="K215" s="477"/>
      <c r="L215" s="127"/>
    </row>
    <row r="216">
      <c r="A216" s="121"/>
      <c r="B216" s="122"/>
      <c r="D216" s="123"/>
      <c r="E216" s="239"/>
      <c r="F216" s="125"/>
      <c r="G216" s="125"/>
      <c r="I216" s="476"/>
      <c r="J216" s="402"/>
      <c r="K216" s="477"/>
      <c r="L216" s="127"/>
    </row>
    <row r="217">
      <c r="A217" s="121"/>
      <c r="B217" s="122"/>
      <c r="D217" s="123"/>
      <c r="E217" s="239"/>
      <c r="F217" s="125"/>
      <c r="G217" s="125"/>
      <c r="I217" s="476"/>
      <c r="J217" s="402"/>
      <c r="K217" s="477"/>
      <c r="L217" s="127"/>
    </row>
    <row r="218">
      <c r="A218" s="121"/>
      <c r="B218" s="122"/>
      <c r="D218" s="123"/>
      <c r="E218" s="239"/>
      <c r="F218" s="125"/>
      <c r="G218" s="125"/>
      <c r="I218" s="476"/>
      <c r="J218" s="402"/>
      <c r="K218" s="477"/>
      <c r="L218" s="127"/>
    </row>
    <row r="219">
      <c r="A219" s="121"/>
      <c r="B219" s="122"/>
      <c r="D219" s="123"/>
      <c r="E219" s="239"/>
      <c r="F219" s="125"/>
      <c r="G219" s="125"/>
      <c r="I219" s="476"/>
      <c r="J219" s="402"/>
      <c r="K219" s="477"/>
      <c r="L219" s="127"/>
    </row>
    <row r="220">
      <c r="A220" s="121"/>
      <c r="B220" s="122"/>
      <c r="D220" s="123"/>
      <c r="E220" s="239"/>
      <c r="F220" s="125"/>
      <c r="G220" s="125"/>
      <c r="I220" s="476"/>
      <c r="J220" s="402"/>
      <c r="K220" s="477"/>
      <c r="L220" s="127"/>
    </row>
    <row r="221">
      <c r="A221" s="121"/>
      <c r="B221" s="122"/>
      <c r="D221" s="123"/>
      <c r="E221" s="123"/>
      <c r="F221" s="125"/>
      <c r="G221" s="125"/>
      <c r="I221" s="476"/>
      <c r="J221" s="402"/>
      <c r="K221" s="477"/>
      <c r="L221" s="127"/>
    </row>
    <row r="222">
      <c r="A222" s="121"/>
      <c r="B222" s="122"/>
      <c r="D222" s="123"/>
      <c r="E222" s="123"/>
      <c r="F222" s="125"/>
      <c r="G222" s="125"/>
      <c r="I222" s="476"/>
      <c r="J222" s="402"/>
      <c r="K222" s="477"/>
      <c r="L222" s="127"/>
    </row>
    <row r="223">
      <c r="A223" s="121"/>
      <c r="B223" s="122"/>
      <c r="D223" s="123"/>
      <c r="E223" s="123"/>
      <c r="F223" s="125"/>
      <c r="G223" s="125"/>
      <c r="I223" s="476"/>
      <c r="J223" s="402"/>
      <c r="K223" s="477"/>
      <c r="L223" s="127"/>
    </row>
    <row r="224">
      <c r="A224" s="121"/>
      <c r="B224" s="122"/>
      <c r="D224" s="123"/>
      <c r="E224" s="123"/>
      <c r="F224" s="125"/>
      <c r="G224" s="125"/>
      <c r="I224" s="476"/>
      <c r="J224" s="402"/>
      <c r="K224" s="477"/>
      <c r="L224" s="127"/>
    </row>
    <row r="225">
      <c r="A225" s="121"/>
      <c r="B225" s="122"/>
      <c r="D225" s="123"/>
      <c r="E225" s="123"/>
      <c r="F225" s="125"/>
      <c r="G225" s="125"/>
      <c r="I225" s="476"/>
      <c r="J225" s="402"/>
      <c r="K225" s="477"/>
      <c r="L225" s="127"/>
    </row>
    <row r="226">
      <c r="A226" s="121"/>
      <c r="B226" s="122"/>
      <c r="D226" s="123"/>
      <c r="E226" s="123"/>
      <c r="F226" s="125"/>
      <c r="G226" s="125"/>
      <c r="I226" s="476"/>
      <c r="J226" s="402"/>
      <c r="K226" s="477"/>
      <c r="L226" s="127"/>
    </row>
    <row r="227">
      <c r="A227" s="121"/>
      <c r="B227" s="122"/>
      <c r="D227" s="123"/>
      <c r="E227" s="123"/>
      <c r="F227" s="125"/>
      <c r="G227" s="125"/>
      <c r="I227" s="476"/>
      <c r="J227" s="402"/>
      <c r="K227" s="477"/>
      <c r="L227" s="127"/>
    </row>
    <row r="228">
      <c r="A228" s="121"/>
      <c r="B228" s="122"/>
      <c r="D228" s="123"/>
      <c r="E228" s="123"/>
      <c r="F228" s="125"/>
      <c r="G228" s="125"/>
      <c r="I228" s="476"/>
      <c r="J228" s="402"/>
      <c r="K228" s="477"/>
      <c r="L228" s="127"/>
    </row>
    <row r="229">
      <c r="A229" s="121"/>
      <c r="B229" s="122"/>
      <c r="D229" s="123"/>
      <c r="E229" s="123"/>
      <c r="F229" s="125"/>
      <c r="G229" s="125"/>
      <c r="I229" s="476"/>
      <c r="J229" s="402"/>
      <c r="K229" s="477"/>
      <c r="L229" s="127"/>
    </row>
    <row r="230">
      <c r="A230" s="121"/>
      <c r="B230" s="122"/>
      <c r="D230" s="123"/>
      <c r="E230" s="123"/>
      <c r="F230" s="125"/>
      <c r="G230" s="125"/>
      <c r="I230" s="476"/>
      <c r="J230" s="402"/>
      <c r="K230" s="477"/>
      <c r="L230" s="127"/>
    </row>
    <row r="231">
      <c r="A231" s="121"/>
      <c r="B231" s="122"/>
      <c r="D231" s="123"/>
      <c r="E231" s="123"/>
      <c r="F231" s="125"/>
      <c r="G231" s="125"/>
      <c r="I231" s="476"/>
      <c r="J231" s="402"/>
      <c r="K231" s="477"/>
      <c r="L231" s="127"/>
    </row>
    <row r="232">
      <c r="A232" s="121"/>
      <c r="B232" s="122"/>
      <c r="D232" s="123"/>
      <c r="E232" s="123"/>
      <c r="F232" s="125"/>
      <c r="G232" s="125"/>
      <c r="I232" s="476"/>
      <c r="J232" s="402"/>
      <c r="K232" s="477"/>
      <c r="L232" s="127"/>
    </row>
    <row r="233">
      <c r="A233" s="121"/>
      <c r="B233" s="122"/>
      <c r="D233" s="123"/>
      <c r="E233" s="123"/>
      <c r="F233" s="125"/>
      <c r="G233" s="125"/>
      <c r="I233" s="476"/>
      <c r="J233" s="402"/>
      <c r="K233" s="477"/>
      <c r="L233" s="127"/>
    </row>
    <row r="234">
      <c r="A234" s="121"/>
      <c r="B234" s="122"/>
      <c r="D234" s="123"/>
      <c r="E234" s="123"/>
      <c r="F234" s="125"/>
      <c r="G234" s="125"/>
      <c r="I234" s="476"/>
      <c r="J234" s="402"/>
      <c r="K234" s="477"/>
      <c r="L234" s="127"/>
    </row>
    <row r="235">
      <c r="A235" s="121"/>
      <c r="B235" s="122"/>
      <c r="D235" s="123"/>
      <c r="E235" s="123"/>
      <c r="F235" s="125"/>
      <c r="G235" s="125"/>
      <c r="I235" s="476"/>
      <c r="J235" s="402"/>
      <c r="K235" s="477"/>
      <c r="L235" s="127"/>
    </row>
    <row r="236">
      <c r="A236" s="121"/>
      <c r="B236" s="122"/>
      <c r="D236" s="123"/>
      <c r="E236" s="123"/>
      <c r="F236" s="125"/>
      <c r="G236" s="125"/>
      <c r="I236" s="476"/>
      <c r="J236" s="402"/>
      <c r="K236" s="477"/>
      <c r="L236" s="127"/>
    </row>
    <row r="237">
      <c r="A237" s="121"/>
      <c r="B237" s="122"/>
      <c r="D237" s="123"/>
      <c r="E237" s="123"/>
      <c r="F237" s="125"/>
      <c r="G237" s="125"/>
      <c r="I237" s="476"/>
      <c r="J237" s="402"/>
      <c r="K237" s="477"/>
      <c r="L237" s="127"/>
    </row>
    <row r="238">
      <c r="A238" s="121"/>
      <c r="B238" s="122"/>
      <c r="D238" s="123"/>
      <c r="E238" s="123"/>
      <c r="F238" s="125"/>
      <c r="G238" s="125"/>
      <c r="I238" s="476"/>
      <c r="J238" s="402"/>
      <c r="K238" s="477"/>
      <c r="L238" s="127"/>
    </row>
    <row r="239">
      <c r="A239" s="121"/>
      <c r="B239" s="122"/>
      <c r="D239" s="123"/>
      <c r="E239" s="123"/>
      <c r="F239" s="125"/>
      <c r="G239" s="125"/>
      <c r="I239" s="476"/>
      <c r="J239" s="402"/>
      <c r="K239" s="477"/>
      <c r="L239" s="127"/>
    </row>
    <row r="240">
      <c r="A240" s="121"/>
      <c r="B240" s="122"/>
      <c r="D240" s="123"/>
      <c r="E240" s="123"/>
      <c r="F240" s="125"/>
      <c r="G240" s="125"/>
      <c r="I240" s="476"/>
      <c r="J240" s="402"/>
      <c r="K240" s="477"/>
      <c r="L240" s="127"/>
    </row>
    <row r="241">
      <c r="A241" s="121"/>
      <c r="B241" s="122"/>
      <c r="D241" s="123"/>
      <c r="E241" s="123"/>
      <c r="F241" s="125"/>
      <c r="G241" s="125"/>
      <c r="I241" s="476"/>
      <c r="J241" s="402"/>
      <c r="K241" s="477"/>
      <c r="L241" s="127"/>
    </row>
    <row r="242">
      <c r="A242" s="121"/>
      <c r="B242" s="122"/>
      <c r="D242" s="123"/>
      <c r="E242" s="123"/>
      <c r="F242" s="125"/>
      <c r="G242" s="125"/>
      <c r="I242" s="476"/>
      <c r="J242" s="402"/>
      <c r="K242" s="477"/>
      <c r="L242" s="127"/>
    </row>
    <row r="243">
      <c r="A243" s="121"/>
      <c r="B243" s="122"/>
      <c r="D243" s="123"/>
      <c r="E243" s="123"/>
      <c r="F243" s="125"/>
      <c r="G243" s="125"/>
      <c r="I243" s="476"/>
      <c r="J243" s="402"/>
      <c r="K243" s="477"/>
      <c r="L243" s="127"/>
    </row>
    <row r="244">
      <c r="A244" s="121"/>
      <c r="B244" s="122"/>
      <c r="D244" s="123"/>
      <c r="E244" s="123"/>
      <c r="F244" s="125"/>
      <c r="G244" s="125"/>
      <c r="I244" s="476"/>
      <c r="J244" s="402"/>
      <c r="K244" s="477"/>
      <c r="L244" s="127"/>
    </row>
    <row r="245">
      <c r="A245" s="121"/>
      <c r="B245" s="122"/>
      <c r="D245" s="123"/>
      <c r="E245" s="123"/>
      <c r="F245" s="125"/>
      <c r="G245" s="125"/>
      <c r="I245" s="476"/>
      <c r="J245" s="402"/>
      <c r="K245" s="477"/>
      <c r="L245" s="127"/>
    </row>
    <row r="246">
      <c r="A246" s="121"/>
      <c r="B246" s="122"/>
      <c r="D246" s="123"/>
      <c r="E246" s="123"/>
      <c r="F246" s="125"/>
      <c r="G246" s="125"/>
      <c r="I246" s="476"/>
      <c r="J246" s="402"/>
      <c r="K246" s="477"/>
      <c r="L246" s="127"/>
    </row>
    <row r="247">
      <c r="A247" s="121"/>
      <c r="B247" s="122"/>
      <c r="D247" s="123"/>
      <c r="E247" s="123"/>
      <c r="F247" s="125"/>
      <c r="G247" s="125"/>
      <c r="I247" s="476"/>
      <c r="J247" s="402"/>
      <c r="K247" s="477"/>
      <c r="L247" s="127"/>
    </row>
    <row r="248">
      <c r="A248" s="121"/>
      <c r="B248" s="122"/>
      <c r="D248" s="123"/>
      <c r="E248" s="123"/>
      <c r="F248" s="125"/>
      <c r="G248" s="125"/>
      <c r="I248" s="476"/>
      <c r="J248" s="402"/>
      <c r="K248" s="477"/>
      <c r="L248" s="127"/>
    </row>
    <row r="249">
      <c r="A249" s="121"/>
      <c r="B249" s="122"/>
      <c r="D249" s="123"/>
      <c r="E249" s="123"/>
      <c r="F249" s="125"/>
      <c r="G249" s="125"/>
      <c r="I249" s="476"/>
      <c r="J249" s="402"/>
      <c r="K249" s="477"/>
      <c r="L249" s="127"/>
    </row>
    <row r="250">
      <c r="A250" s="121"/>
      <c r="B250" s="122"/>
      <c r="D250" s="123"/>
      <c r="E250" s="123"/>
      <c r="F250" s="125"/>
      <c r="G250" s="125"/>
      <c r="I250" s="476"/>
      <c r="J250" s="402"/>
      <c r="K250" s="477"/>
      <c r="L250" s="127"/>
    </row>
    <row r="251">
      <c r="A251" s="121"/>
      <c r="B251" s="122"/>
      <c r="D251" s="123"/>
      <c r="E251" s="123"/>
      <c r="F251" s="125"/>
      <c r="G251" s="125"/>
      <c r="I251" s="476"/>
      <c r="J251" s="402"/>
      <c r="K251" s="477"/>
      <c r="L251" s="127"/>
    </row>
    <row r="252">
      <c r="A252" s="121"/>
      <c r="B252" s="122"/>
      <c r="D252" s="123"/>
      <c r="E252" s="123"/>
      <c r="F252" s="125"/>
      <c r="G252" s="125"/>
      <c r="I252" s="476"/>
      <c r="J252" s="402"/>
      <c r="K252" s="477"/>
      <c r="L252" s="127"/>
    </row>
    <row r="253">
      <c r="A253" s="121"/>
      <c r="B253" s="122"/>
      <c r="D253" s="123"/>
      <c r="E253" s="123"/>
      <c r="F253" s="125"/>
      <c r="G253" s="125"/>
      <c r="I253" s="476"/>
      <c r="J253" s="402"/>
      <c r="K253" s="477"/>
      <c r="L253" s="127"/>
    </row>
    <row r="254">
      <c r="A254" s="121"/>
      <c r="B254" s="122"/>
      <c r="D254" s="123"/>
      <c r="E254" s="123"/>
      <c r="F254" s="125"/>
      <c r="G254" s="125"/>
      <c r="I254" s="476"/>
      <c r="J254" s="402"/>
      <c r="K254" s="477"/>
      <c r="L254" s="127"/>
    </row>
    <row r="255">
      <c r="A255" s="121"/>
      <c r="B255" s="122"/>
      <c r="D255" s="123"/>
      <c r="E255" s="123"/>
      <c r="F255" s="125"/>
      <c r="G255" s="125"/>
      <c r="I255" s="476"/>
      <c r="J255" s="402"/>
      <c r="K255" s="477"/>
      <c r="L255" s="127"/>
    </row>
    <row r="256">
      <c r="A256" s="121"/>
      <c r="B256" s="122"/>
      <c r="D256" s="123"/>
      <c r="E256" s="123"/>
      <c r="F256" s="125"/>
      <c r="G256" s="125"/>
      <c r="I256" s="476"/>
      <c r="J256" s="402"/>
      <c r="K256" s="477"/>
      <c r="L256" s="127"/>
    </row>
    <row r="257">
      <c r="A257" s="121"/>
      <c r="B257" s="122"/>
      <c r="D257" s="123"/>
      <c r="E257" s="123"/>
      <c r="F257" s="125"/>
      <c r="G257" s="125"/>
      <c r="I257" s="476"/>
      <c r="J257" s="402"/>
      <c r="K257" s="477"/>
      <c r="L257" s="127"/>
    </row>
    <row r="258">
      <c r="A258" s="121"/>
      <c r="B258" s="122"/>
      <c r="D258" s="123"/>
      <c r="E258" s="123"/>
      <c r="F258" s="125"/>
      <c r="G258" s="125"/>
      <c r="I258" s="476"/>
      <c r="J258" s="402"/>
      <c r="K258" s="477"/>
      <c r="L258" s="127"/>
    </row>
    <row r="259">
      <c r="A259" s="121"/>
      <c r="B259" s="122"/>
      <c r="D259" s="123"/>
      <c r="E259" s="123"/>
      <c r="F259" s="125"/>
      <c r="G259" s="125"/>
      <c r="I259" s="476"/>
      <c r="J259" s="402"/>
      <c r="K259" s="477"/>
      <c r="L259" s="127"/>
    </row>
    <row r="260">
      <c r="A260" s="121"/>
      <c r="B260" s="122"/>
      <c r="D260" s="123"/>
      <c r="E260" s="123"/>
      <c r="F260" s="125"/>
      <c r="G260" s="125"/>
      <c r="I260" s="476"/>
      <c r="J260" s="402"/>
      <c r="K260" s="477"/>
      <c r="L260" s="127"/>
    </row>
    <row r="261">
      <c r="A261" s="121"/>
      <c r="B261" s="122"/>
      <c r="D261" s="123"/>
      <c r="E261" s="123"/>
      <c r="F261" s="125"/>
      <c r="G261" s="125"/>
      <c r="I261" s="476"/>
      <c r="J261" s="402"/>
      <c r="K261" s="477"/>
      <c r="L261" s="127"/>
    </row>
    <row r="262">
      <c r="A262" s="121"/>
      <c r="B262" s="122"/>
      <c r="D262" s="123"/>
      <c r="E262" s="123"/>
      <c r="F262" s="125"/>
      <c r="G262" s="125"/>
      <c r="I262" s="476"/>
      <c r="J262" s="402"/>
      <c r="K262" s="477"/>
      <c r="L262" s="127"/>
    </row>
    <row r="263">
      <c r="A263" s="121"/>
      <c r="B263" s="122"/>
      <c r="D263" s="123"/>
      <c r="E263" s="123"/>
      <c r="F263" s="125"/>
      <c r="G263" s="125"/>
      <c r="I263" s="476"/>
      <c r="J263" s="402"/>
      <c r="K263" s="477"/>
      <c r="L263" s="127"/>
    </row>
    <row r="264">
      <c r="A264" s="121"/>
      <c r="B264" s="122"/>
      <c r="D264" s="123"/>
      <c r="E264" s="123"/>
      <c r="F264" s="125"/>
      <c r="G264" s="125"/>
      <c r="I264" s="476"/>
      <c r="J264" s="402"/>
      <c r="K264" s="477"/>
      <c r="L264" s="127"/>
    </row>
    <row r="265">
      <c r="A265" s="121"/>
      <c r="B265" s="122"/>
      <c r="D265" s="123"/>
      <c r="E265" s="123"/>
      <c r="F265" s="125"/>
      <c r="G265" s="125"/>
      <c r="I265" s="476"/>
      <c r="J265" s="402"/>
      <c r="K265" s="477"/>
      <c r="L265" s="127"/>
    </row>
    <row r="266">
      <c r="A266" s="121"/>
      <c r="B266" s="122"/>
      <c r="D266" s="123"/>
      <c r="E266" s="123"/>
      <c r="F266" s="125"/>
      <c r="G266" s="125"/>
      <c r="I266" s="476"/>
      <c r="J266" s="402"/>
      <c r="K266" s="477"/>
      <c r="L266" s="127"/>
    </row>
    <row r="267">
      <c r="A267" s="121"/>
      <c r="B267" s="122"/>
      <c r="D267" s="123"/>
      <c r="E267" s="123"/>
      <c r="F267" s="125"/>
      <c r="G267" s="125"/>
      <c r="I267" s="476"/>
      <c r="J267" s="402"/>
      <c r="K267" s="477"/>
      <c r="L267" s="127"/>
    </row>
    <row r="268">
      <c r="A268" s="121"/>
      <c r="B268" s="122"/>
      <c r="D268" s="123"/>
      <c r="E268" s="123"/>
      <c r="F268" s="125"/>
      <c r="G268" s="125"/>
      <c r="I268" s="476"/>
      <c r="J268" s="402"/>
      <c r="K268" s="477"/>
      <c r="L268" s="127"/>
    </row>
    <row r="269">
      <c r="A269" s="121"/>
      <c r="B269" s="122"/>
      <c r="D269" s="123"/>
      <c r="E269" s="123"/>
      <c r="F269" s="125"/>
      <c r="G269" s="125"/>
      <c r="I269" s="476"/>
      <c r="J269" s="402"/>
      <c r="K269" s="477"/>
      <c r="L269" s="127"/>
    </row>
    <row r="270">
      <c r="A270" s="121"/>
      <c r="B270" s="122"/>
      <c r="D270" s="123"/>
      <c r="E270" s="123"/>
      <c r="F270" s="125"/>
      <c r="G270" s="125"/>
      <c r="I270" s="476"/>
      <c r="J270" s="402"/>
      <c r="K270" s="477"/>
      <c r="L270" s="127"/>
    </row>
    <row r="271">
      <c r="A271" s="121"/>
      <c r="B271" s="122"/>
      <c r="D271" s="123"/>
      <c r="E271" s="123"/>
      <c r="F271" s="125"/>
      <c r="G271" s="125"/>
      <c r="I271" s="476"/>
      <c r="J271" s="402"/>
      <c r="K271" s="477"/>
      <c r="L271" s="127"/>
    </row>
    <row r="272">
      <c r="A272" s="121"/>
      <c r="B272" s="122"/>
      <c r="D272" s="123"/>
      <c r="E272" s="123"/>
      <c r="F272" s="125"/>
      <c r="G272" s="125"/>
      <c r="I272" s="476"/>
      <c r="J272" s="402"/>
      <c r="K272" s="477"/>
      <c r="L272" s="127"/>
    </row>
    <row r="273">
      <c r="A273" s="121"/>
      <c r="B273" s="122"/>
      <c r="D273" s="123"/>
      <c r="E273" s="123"/>
      <c r="F273" s="125"/>
      <c r="G273" s="125"/>
      <c r="I273" s="476"/>
      <c r="J273" s="402"/>
      <c r="K273" s="477"/>
      <c r="L273" s="127"/>
    </row>
    <row r="274">
      <c r="A274" s="121"/>
      <c r="B274" s="122"/>
      <c r="D274" s="123"/>
      <c r="E274" s="123"/>
      <c r="F274" s="125"/>
      <c r="G274" s="125"/>
      <c r="I274" s="476"/>
      <c r="J274" s="402"/>
      <c r="K274" s="477"/>
      <c r="L274" s="127"/>
    </row>
    <row r="275">
      <c r="A275" s="121"/>
      <c r="B275" s="122"/>
      <c r="D275" s="123"/>
      <c r="E275" s="123"/>
      <c r="F275" s="125"/>
      <c r="G275" s="125"/>
      <c r="I275" s="476"/>
      <c r="J275" s="402"/>
      <c r="K275" s="477"/>
      <c r="L275" s="127"/>
    </row>
    <row r="276">
      <c r="A276" s="121"/>
      <c r="B276" s="122"/>
      <c r="D276" s="123"/>
      <c r="E276" s="123"/>
      <c r="F276" s="125"/>
      <c r="G276" s="125"/>
      <c r="I276" s="476"/>
      <c r="J276" s="402"/>
      <c r="K276" s="477"/>
      <c r="L276" s="127"/>
    </row>
    <row r="277">
      <c r="A277" s="121"/>
      <c r="B277" s="122"/>
      <c r="D277" s="123"/>
      <c r="E277" s="123"/>
      <c r="F277" s="125"/>
      <c r="G277" s="125"/>
      <c r="I277" s="476"/>
      <c r="J277" s="402"/>
      <c r="K277" s="477"/>
      <c r="L277" s="127"/>
    </row>
    <row r="278">
      <c r="A278" s="121"/>
      <c r="B278" s="122"/>
      <c r="D278" s="123"/>
      <c r="E278" s="123"/>
      <c r="F278" s="125"/>
      <c r="G278" s="125"/>
      <c r="I278" s="476"/>
      <c r="J278" s="402"/>
      <c r="K278" s="477"/>
      <c r="L278" s="127"/>
    </row>
    <row r="279">
      <c r="A279" s="121"/>
      <c r="B279" s="122"/>
      <c r="D279" s="123"/>
      <c r="E279" s="123"/>
      <c r="F279" s="125"/>
      <c r="G279" s="125"/>
      <c r="I279" s="476"/>
      <c r="J279" s="402"/>
      <c r="K279" s="477"/>
      <c r="L279" s="127"/>
    </row>
    <row r="280">
      <c r="A280" s="121"/>
      <c r="B280" s="122"/>
      <c r="D280" s="123"/>
      <c r="E280" s="123"/>
      <c r="F280" s="125"/>
      <c r="G280" s="125"/>
      <c r="I280" s="476"/>
      <c r="J280" s="402"/>
      <c r="K280" s="477"/>
      <c r="L280" s="127"/>
    </row>
    <row r="281">
      <c r="A281" s="121"/>
      <c r="B281" s="122"/>
      <c r="D281" s="123"/>
      <c r="E281" s="123"/>
      <c r="F281" s="125"/>
      <c r="G281" s="125"/>
      <c r="I281" s="476"/>
      <c r="J281" s="402"/>
      <c r="K281" s="477"/>
      <c r="L281" s="127"/>
    </row>
    <row r="282">
      <c r="A282" s="121"/>
      <c r="B282" s="122"/>
      <c r="D282" s="123"/>
      <c r="E282" s="123"/>
      <c r="F282" s="125"/>
      <c r="G282" s="125"/>
      <c r="I282" s="476"/>
      <c r="J282" s="402"/>
      <c r="K282" s="477"/>
      <c r="L282" s="127"/>
    </row>
    <row r="283">
      <c r="A283" s="121"/>
      <c r="B283" s="122"/>
      <c r="D283" s="123"/>
      <c r="E283" s="123"/>
      <c r="F283" s="125"/>
      <c r="G283" s="125"/>
      <c r="I283" s="476"/>
      <c r="J283" s="402"/>
      <c r="K283" s="477"/>
      <c r="L283" s="127"/>
    </row>
    <row r="284">
      <c r="A284" s="121"/>
      <c r="B284" s="122"/>
      <c r="D284" s="123"/>
      <c r="E284" s="123"/>
      <c r="F284" s="125"/>
      <c r="G284" s="125"/>
      <c r="I284" s="476"/>
      <c r="J284" s="402"/>
      <c r="K284" s="477"/>
      <c r="L284" s="127"/>
    </row>
    <row r="285">
      <c r="A285" s="121"/>
      <c r="B285" s="122"/>
      <c r="D285" s="123"/>
      <c r="E285" s="123"/>
      <c r="F285" s="125"/>
      <c r="G285" s="125"/>
      <c r="I285" s="476"/>
      <c r="J285" s="402"/>
      <c r="K285" s="477"/>
      <c r="L285" s="127"/>
    </row>
    <row r="286">
      <c r="A286" s="121"/>
      <c r="B286" s="122"/>
      <c r="D286" s="123"/>
      <c r="E286" s="123"/>
      <c r="F286" s="125"/>
      <c r="G286" s="125"/>
      <c r="I286" s="476"/>
      <c r="J286" s="402"/>
      <c r="K286" s="477"/>
      <c r="L286" s="127"/>
    </row>
    <row r="287">
      <c r="A287" s="121"/>
      <c r="B287" s="122"/>
      <c r="D287" s="123"/>
      <c r="E287" s="123"/>
      <c r="F287" s="125"/>
      <c r="G287" s="125"/>
      <c r="I287" s="476"/>
      <c r="J287" s="402"/>
      <c r="K287" s="477"/>
      <c r="L287" s="127"/>
    </row>
    <row r="288">
      <c r="A288" s="121"/>
      <c r="B288" s="122"/>
      <c r="D288" s="123"/>
      <c r="E288" s="123"/>
      <c r="F288" s="125"/>
      <c r="G288" s="125"/>
      <c r="I288" s="476"/>
      <c r="J288" s="402"/>
      <c r="K288" s="477"/>
      <c r="L288" s="127"/>
    </row>
    <row r="289">
      <c r="A289" s="121"/>
      <c r="B289" s="122"/>
      <c r="D289" s="123"/>
      <c r="E289" s="123"/>
      <c r="F289" s="125"/>
      <c r="G289" s="125"/>
      <c r="I289" s="476"/>
      <c r="J289" s="402"/>
      <c r="K289" s="477"/>
      <c r="L289" s="127"/>
    </row>
    <row r="290">
      <c r="A290" s="121"/>
      <c r="B290" s="122"/>
      <c r="D290" s="123"/>
      <c r="E290" s="123"/>
      <c r="F290" s="125"/>
      <c r="G290" s="125"/>
      <c r="I290" s="476"/>
      <c r="J290" s="402"/>
      <c r="K290" s="477"/>
      <c r="L290" s="127"/>
    </row>
    <row r="291">
      <c r="A291" s="121"/>
      <c r="B291" s="122"/>
      <c r="D291" s="123"/>
      <c r="E291" s="123"/>
      <c r="F291" s="125"/>
      <c r="G291" s="125"/>
      <c r="I291" s="476"/>
      <c r="J291" s="402"/>
      <c r="K291" s="477"/>
      <c r="L291" s="127"/>
    </row>
    <row r="292">
      <c r="A292" s="121"/>
      <c r="B292" s="122"/>
      <c r="D292" s="123"/>
      <c r="E292" s="123"/>
      <c r="F292" s="125"/>
      <c r="G292" s="125"/>
      <c r="I292" s="476"/>
      <c r="J292" s="402"/>
      <c r="K292" s="477"/>
      <c r="L292" s="127"/>
    </row>
    <row r="293">
      <c r="A293" s="121"/>
      <c r="B293" s="122"/>
      <c r="D293" s="123"/>
      <c r="E293" s="123"/>
      <c r="F293" s="125"/>
      <c r="G293" s="125"/>
      <c r="I293" s="476"/>
      <c r="J293" s="402"/>
      <c r="K293" s="477"/>
      <c r="L293" s="127"/>
    </row>
    <row r="294">
      <c r="A294" s="121"/>
      <c r="B294" s="122"/>
      <c r="D294" s="123"/>
      <c r="E294" s="123"/>
      <c r="F294" s="125"/>
      <c r="G294" s="125"/>
      <c r="I294" s="476"/>
      <c r="J294" s="402"/>
      <c r="K294" s="477"/>
      <c r="L294" s="127"/>
    </row>
    <row r="295">
      <c r="A295" s="121"/>
      <c r="B295" s="122"/>
      <c r="D295" s="123"/>
      <c r="E295" s="123"/>
      <c r="F295" s="125"/>
      <c r="G295" s="125"/>
      <c r="I295" s="476"/>
      <c r="J295" s="402"/>
      <c r="K295" s="477"/>
      <c r="L295" s="127"/>
    </row>
    <row r="296">
      <c r="A296" s="121"/>
      <c r="B296" s="122"/>
      <c r="D296" s="123"/>
      <c r="E296" s="123"/>
      <c r="F296" s="125"/>
      <c r="G296" s="125"/>
      <c r="I296" s="476"/>
      <c r="J296" s="402"/>
      <c r="K296" s="477"/>
      <c r="L296" s="127"/>
    </row>
    <row r="297">
      <c r="A297" s="121"/>
      <c r="B297" s="122"/>
      <c r="D297" s="123"/>
      <c r="E297" s="123"/>
      <c r="F297" s="125"/>
      <c r="G297" s="125"/>
      <c r="I297" s="476"/>
      <c r="J297" s="402"/>
      <c r="K297" s="477"/>
      <c r="L297" s="127"/>
    </row>
    <row r="298">
      <c r="A298" s="121"/>
      <c r="B298" s="122"/>
      <c r="D298" s="123"/>
      <c r="E298" s="123"/>
      <c r="F298" s="125"/>
      <c r="G298" s="125"/>
      <c r="I298" s="476"/>
      <c r="J298" s="402"/>
      <c r="K298" s="477"/>
      <c r="L298" s="127"/>
    </row>
    <row r="299">
      <c r="A299" s="121"/>
      <c r="B299" s="122"/>
      <c r="D299" s="123"/>
      <c r="E299" s="123"/>
      <c r="F299" s="125"/>
      <c r="G299" s="125"/>
      <c r="I299" s="476"/>
      <c r="J299" s="402"/>
      <c r="K299" s="477"/>
      <c r="L299" s="127"/>
    </row>
    <row r="300">
      <c r="A300" s="121"/>
      <c r="B300" s="122"/>
      <c r="D300" s="123"/>
      <c r="E300" s="123"/>
      <c r="F300" s="125"/>
      <c r="G300" s="125"/>
      <c r="I300" s="476"/>
      <c r="J300" s="402"/>
      <c r="K300" s="477"/>
      <c r="L300" s="127"/>
    </row>
    <row r="301">
      <c r="A301" s="121"/>
      <c r="B301" s="122"/>
      <c r="D301" s="123"/>
      <c r="E301" s="123"/>
      <c r="F301" s="125"/>
      <c r="G301" s="125"/>
      <c r="I301" s="476"/>
      <c r="J301" s="402"/>
      <c r="K301" s="477"/>
      <c r="L301" s="127"/>
    </row>
    <row r="302">
      <c r="A302" s="121"/>
      <c r="B302" s="122"/>
      <c r="D302" s="123"/>
      <c r="E302" s="123"/>
      <c r="F302" s="125"/>
      <c r="G302" s="125"/>
      <c r="I302" s="476"/>
      <c r="J302" s="402"/>
      <c r="K302" s="477"/>
      <c r="L302" s="127"/>
    </row>
    <row r="303">
      <c r="A303" s="121"/>
      <c r="B303" s="122"/>
      <c r="D303" s="123"/>
      <c r="E303" s="123"/>
      <c r="F303" s="125"/>
      <c r="G303" s="125"/>
      <c r="I303" s="476"/>
      <c r="J303" s="402"/>
      <c r="K303" s="477"/>
      <c r="L303" s="127"/>
    </row>
    <row r="304">
      <c r="A304" s="121"/>
      <c r="B304" s="122"/>
      <c r="D304" s="123"/>
      <c r="E304" s="123"/>
      <c r="F304" s="125"/>
      <c r="G304" s="125"/>
      <c r="I304" s="476"/>
      <c r="J304" s="402"/>
      <c r="K304" s="477"/>
      <c r="L304" s="127"/>
    </row>
    <row r="305">
      <c r="A305" s="121"/>
      <c r="B305" s="122"/>
      <c r="D305" s="123"/>
      <c r="E305" s="123"/>
      <c r="F305" s="125"/>
      <c r="G305" s="125"/>
      <c r="I305" s="476"/>
      <c r="J305" s="402"/>
      <c r="K305" s="477"/>
      <c r="L305" s="127"/>
    </row>
    <row r="306">
      <c r="A306" s="121"/>
      <c r="B306" s="122"/>
      <c r="D306" s="123"/>
      <c r="E306" s="123"/>
      <c r="F306" s="125"/>
      <c r="G306" s="125"/>
      <c r="I306" s="476"/>
      <c r="J306" s="402"/>
      <c r="K306" s="477"/>
      <c r="L306" s="127"/>
    </row>
    <row r="307">
      <c r="A307" s="121"/>
      <c r="B307" s="122"/>
      <c r="D307" s="123"/>
      <c r="E307" s="123"/>
      <c r="F307" s="125"/>
      <c r="G307" s="125"/>
      <c r="I307" s="476"/>
      <c r="J307" s="402"/>
      <c r="K307" s="477"/>
      <c r="L307" s="127"/>
    </row>
    <row r="308">
      <c r="A308" s="121"/>
      <c r="B308" s="122"/>
      <c r="D308" s="123"/>
      <c r="E308" s="123"/>
      <c r="F308" s="125"/>
      <c r="G308" s="125"/>
      <c r="I308" s="476"/>
      <c r="J308" s="402"/>
      <c r="K308" s="477"/>
      <c r="L308" s="127"/>
    </row>
    <row r="309">
      <c r="A309" s="121"/>
      <c r="B309" s="122"/>
      <c r="D309" s="123"/>
      <c r="E309" s="123"/>
      <c r="F309" s="125"/>
      <c r="G309" s="125"/>
      <c r="I309" s="476"/>
      <c r="J309" s="402"/>
      <c r="K309" s="477"/>
      <c r="L309" s="127"/>
    </row>
    <row r="310">
      <c r="A310" s="121"/>
      <c r="B310" s="122"/>
      <c r="D310" s="123"/>
      <c r="E310" s="123"/>
      <c r="F310" s="125"/>
      <c r="G310" s="125"/>
      <c r="I310" s="476"/>
      <c r="J310" s="402"/>
      <c r="K310" s="477"/>
      <c r="L310" s="127"/>
    </row>
    <row r="311">
      <c r="A311" s="121"/>
      <c r="B311" s="122"/>
      <c r="D311" s="123"/>
      <c r="E311" s="123"/>
      <c r="F311" s="125"/>
      <c r="G311" s="125"/>
      <c r="I311" s="476"/>
      <c r="J311" s="402"/>
      <c r="K311" s="477"/>
      <c r="L311" s="127"/>
    </row>
    <row r="312">
      <c r="A312" s="121"/>
      <c r="B312" s="122"/>
      <c r="D312" s="123"/>
      <c r="E312" s="123"/>
      <c r="F312" s="125"/>
      <c r="G312" s="125"/>
      <c r="I312" s="476"/>
      <c r="J312" s="402"/>
      <c r="K312" s="477"/>
      <c r="L312" s="127"/>
    </row>
    <row r="313">
      <c r="A313" s="121"/>
      <c r="B313" s="122"/>
      <c r="D313" s="123"/>
      <c r="E313" s="123"/>
      <c r="F313" s="125"/>
      <c r="G313" s="125"/>
      <c r="I313" s="476"/>
      <c r="J313" s="402"/>
      <c r="K313" s="477"/>
      <c r="L313" s="127"/>
    </row>
    <row r="314">
      <c r="A314" s="121"/>
      <c r="B314" s="122"/>
      <c r="D314" s="123"/>
      <c r="E314" s="123"/>
      <c r="F314" s="125"/>
      <c r="G314" s="125"/>
      <c r="I314" s="476"/>
      <c r="J314" s="402"/>
      <c r="K314" s="477"/>
      <c r="L314" s="127"/>
    </row>
    <row r="315">
      <c r="A315" s="121"/>
      <c r="B315" s="122"/>
      <c r="D315" s="123"/>
      <c r="E315" s="123"/>
      <c r="F315" s="125"/>
      <c r="G315" s="125"/>
      <c r="I315" s="476"/>
      <c r="J315" s="402"/>
      <c r="K315" s="477"/>
      <c r="L315" s="127"/>
    </row>
    <row r="316">
      <c r="A316" s="121"/>
      <c r="B316" s="122"/>
      <c r="D316" s="123"/>
      <c r="E316" s="123"/>
      <c r="F316" s="125"/>
      <c r="G316" s="125"/>
      <c r="I316" s="476"/>
      <c r="J316" s="402"/>
      <c r="K316" s="477"/>
      <c r="L316" s="127"/>
    </row>
    <row r="317">
      <c r="A317" s="121"/>
      <c r="B317" s="122"/>
      <c r="D317" s="123"/>
      <c r="E317" s="123"/>
      <c r="F317" s="125"/>
      <c r="G317" s="125"/>
      <c r="I317" s="476"/>
      <c r="J317" s="402"/>
      <c r="K317" s="477"/>
      <c r="L317" s="127"/>
    </row>
    <row r="318">
      <c r="A318" s="121"/>
      <c r="B318" s="122"/>
      <c r="D318" s="123"/>
      <c r="E318" s="123"/>
      <c r="F318" s="125"/>
      <c r="G318" s="125"/>
      <c r="I318" s="476"/>
      <c r="J318" s="402"/>
      <c r="K318" s="477"/>
      <c r="L318" s="127"/>
    </row>
    <row r="319">
      <c r="A319" s="121"/>
      <c r="B319" s="122"/>
      <c r="D319" s="123"/>
      <c r="E319" s="123"/>
      <c r="F319" s="125"/>
      <c r="G319" s="125"/>
      <c r="I319" s="476"/>
      <c r="J319" s="402"/>
      <c r="K319" s="477"/>
      <c r="L319" s="127"/>
    </row>
    <row r="320">
      <c r="A320" s="121"/>
      <c r="B320" s="122"/>
      <c r="D320" s="123"/>
      <c r="E320" s="123"/>
      <c r="F320" s="125"/>
      <c r="G320" s="125"/>
      <c r="I320" s="476"/>
      <c r="J320" s="402"/>
      <c r="K320" s="477"/>
      <c r="L320" s="127"/>
    </row>
    <row r="321">
      <c r="A321" s="121"/>
      <c r="B321" s="122"/>
      <c r="D321" s="123"/>
      <c r="E321" s="123"/>
      <c r="F321" s="125"/>
      <c r="G321" s="125"/>
      <c r="I321" s="476"/>
      <c r="J321" s="402"/>
      <c r="K321" s="477"/>
      <c r="L321" s="127"/>
    </row>
    <row r="322">
      <c r="A322" s="121"/>
      <c r="B322" s="122"/>
      <c r="D322" s="123"/>
      <c r="E322" s="123"/>
      <c r="F322" s="125"/>
      <c r="G322" s="125"/>
      <c r="I322" s="476"/>
      <c r="J322" s="402"/>
      <c r="K322" s="477"/>
      <c r="L322" s="127"/>
    </row>
    <row r="323">
      <c r="A323" s="121"/>
      <c r="B323" s="122"/>
      <c r="D323" s="123"/>
      <c r="E323" s="123"/>
      <c r="F323" s="125"/>
      <c r="G323" s="125"/>
      <c r="I323" s="476"/>
      <c r="J323" s="402"/>
      <c r="K323" s="477"/>
      <c r="L323" s="127"/>
    </row>
    <row r="324">
      <c r="A324" s="121"/>
      <c r="B324" s="122"/>
      <c r="D324" s="123"/>
      <c r="E324" s="123"/>
      <c r="F324" s="125"/>
      <c r="G324" s="125"/>
      <c r="I324" s="476"/>
      <c r="J324" s="402"/>
      <c r="K324" s="477"/>
      <c r="L324" s="127"/>
    </row>
    <row r="325">
      <c r="A325" s="121"/>
      <c r="B325" s="122"/>
      <c r="D325" s="123"/>
      <c r="E325" s="123"/>
      <c r="F325" s="125"/>
      <c r="G325" s="125"/>
      <c r="I325" s="476"/>
      <c r="J325" s="402"/>
      <c r="K325" s="477"/>
      <c r="L325" s="127"/>
    </row>
    <row r="326">
      <c r="A326" s="121"/>
      <c r="B326" s="122"/>
      <c r="D326" s="123"/>
      <c r="E326" s="123"/>
      <c r="F326" s="125"/>
      <c r="G326" s="125"/>
      <c r="I326" s="476"/>
      <c r="J326" s="402"/>
      <c r="K326" s="477"/>
      <c r="L326" s="127"/>
    </row>
    <row r="327">
      <c r="A327" s="121"/>
      <c r="B327" s="122"/>
      <c r="D327" s="123"/>
      <c r="E327" s="123"/>
      <c r="F327" s="125"/>
      <c r="G327" s="125"/>
      <c r="I327" s="476"/>
      <c r="J327" s="402"/>
      <c r="K327" s="477"/>
      <c r="L327" s="127"/>
    </row>
    <row r="328">
      <c r="A328" s="121"/>
      <c r="B328" s="122"/>
      <c r="D328" s="123"/>
      <c r="E328" s="123"/>
      <c r="F328" s="125"/>
      <c r="G328" s="125"/>
      <c r="I328" s="476"/>
      <c r="J328" s="402"/>
      <c r="K328" s="477"/>
      <c r="L328" s="127"/>
    </row>
    <row r="329">
      <c r="A329" s="121"/>
      <c r="B329" s="122"/>
      <c r="D329" s="123"/>
      <c r="E329" s="123"/>
      <c r="F329" s="125"/>
      <c r="G329" s="125"/>
      <c r="I329" s="476"/>
      <c r="J329" s="402"/>
      <c r="K329" s="477"/>
      <c r="L329" s="127"/>
    </row>
    <row r="330">
      <c r="A330" s="121"/>
      <c r="B330" s="122"/>
      <c r="D330" s="123"/>
      <c r="E330" s="123"/>
      <c r="F330" s="125"/>
      <c r="G330" s="125"/>
      <c r="I330" s="476"/>
      <c r="J330" s="402"/>
      <c r="K330" s="477"/>
      <c r="L330" s="127"/>
    </row>
    <row r="331">
      <c r="A331" s="121"/>
      <c r="B331" s="122"/>
      <c r="D331" s="123"/>
      <c r="E331" s="123"/>
      <c r="F331" s="125"/>
      <c r="G331" s="125"/>
      <c r="I331" s="476"/>
      <c r="J331" s="402"/>
      <c r="K331" s="477"/>
      <c r="L331" s="127"/>
    </row>
    <row r="332">
      <c r="A332" s="121"/>
      <c r="B332" s="122"/>
      <c r="D332" s="123"/>
      <c r="E332" s="123"/>
      <c r="F332" s="125"/>
      <c r="G332" s="125"/>
      <c r="I332" s="476"/>
      <c r="J332" s="402"/>
      <c r="K332" s="477"/>
      <c r="L332" s="127"/>
    </row>
    <row r="333">
      <c r="A333" s="121"/>
      <c r="B333" s="122"/>
      <c r="D333" s="123"/>
      <c r="E333" s="123"/>
      <c r="F333" s="125"/>
      <c r="G333" s="125"/>
      <c r="I333" s="476"/>
      <c r="J333" s="402"/>
      <c r="K333" s="477"/>
      <c r="L333" s="127"/>
    </row>
    <row r="334">
      <c r="A334" s="121"/>
      <c r="B334" s="122"/>
      <c r="D334" s="123"/>
      <c r="E334" s="123"/>
      <c r="F334" s="125"/>
      <c r="G334" s="125"/>
      <c r="I334" s="476"/>
      <c r="J334" s="402"/>
      <c r="K334" s="477"/>
      <c r="L334" s="127"/>
    </row>
    <row r="335">
      <c r="A335" s="121"/>
      <c r="B335" s="122"/>
      <c r="D335" s="123"/>
      <c r="E335" s="123"/>
      <c r="F335" s="125"/>
      <c r="G335" s="125"/>
      <c r="I335" s="476"/>
      <c r="J335" s="402"/>
      <c r="K335" s="477"/>
      <c r="L335" s="127"/>
    </row>
    <row r="336">
      <c r="A336" s="121"/>
      <c r="B336" s="122"/>
      <c r="D336" s="123"/>
      <c r="E336" s="123"/>
      <c r="F336" s="125"/>
      <c r="G336" s="125"/>
      <c r="I336" s="476"/>
      <c r="J336" s="402"/>
      <c r="K336" s="477"/>
      <c r="L336" s="127"/>
    </row>
    <row r="337">
      <c r="A337" s="121"/>
      <c r="B337" s="122"/>
      <c r="D337" s="123"/>
      <c r="E337" s="123"/>
      <c r="F337" s="125"/>
      <c r="G337" s="125"/>
      <c r="I337" s="476"/>
      <c r="J337" s="402"/>
      <c r="K337" s="477"/>
      <c r="L337" s="127"/>
    </row>
    <row r="338">
      <c r="A338" s="121"/>
      <c r="B338" s="122"/>
      <c r="D338" s="123"/>
      <c r="E338" s="123"/>
      <c r="F338" s="125"/>
      <c r="G338" s="125"/>
      <c r="I338" s="476"/>
      <c r="J338" s="402"/>
      <c r="K338" s="477"/>
      <c r="L338" s="127"/>
    </row>
    <row r="339">
      <c r="A339" s="121"/>
      <c r="B339" s="122"/>
      <c r="D339" s="123"/>
      <c r="E339" s="123"/>
      <c r="F339" s="125"/>
      <c r="G339" s="125"/>
      <c r="I339" s="476"/>
      <c r="J339" s="402"/>
      <c r="K339" s="477"/>
      <c r="L339" s="127"/>
    </row>
    <row r="340">
      <c r="A340" s="121"/>
      <c r="B340" s="122"/>
      <c r="D340" s="123"/>
      <c r="E340" s="123"/>
      <c r="F340" s="125"/>
      <c r="G340" s="125"/>
      <c r="I340" s="476"/>
      <c r="J340" s="402"/>
      <c r="K340" s="477"/>
      <c r="L340" s="127"/>
    </row>
    <row r="341">
      <c r="A341" s="121"/>
      <c r="B341" s="122"/>
      <c r="D341" s="123"/>
      <c r="E341" s="123"/>
      <c r="F341" s="125"/>
      <c r="G341" s="125"/>
      <c r="I341" s="476"/>
      <c r="J341" s="402"/>
      <c r="K341" s="477"/>
      <c r="L341" s="127"/>
    </row>
    <row r="342">
      <c r="A342" s="121"/>
      <c r="B342" s="122"/>
      <c r="D342" s="123"/>
      <c r="E342" s="123"/>
      <c r="F342" s="125"/>
      <c r="G342" s="125"/>
      <c r="I342" s="476"/>
      <c r="J342" s="402"/>
      <c r="K342" s="477"/>
      <c r="L342" s="127"/>
    </row>
    <row r="343">
      <c r="A343" s="121"/>
      <c r="B343" s="122"/>
      <c r="D343" s="123"/>
      <c r="E343" s="123"/>
      <c r="F343" s="125"/>
      <c r="G343" s="125"/>
      <c r="I343" s="476"/>
      <c r="J343" s="402"/>
      <c r="K343" s="477"/>
      <c r="L343" s="127"/>
    </row>
    <row r="344">
      <c r="A344" s="121"/>
      <c r="B344" s="122"/>
      <c r="D344" s="123"/>
      <c r="E344" s="123"/>
      <c r="F344" s="125"/>
      <c r="G344" s="125"/>
      <c r="I344" s="476"/>
      <c r="J344" s="402"/>
      <c r="K344" s="477"/>
      <c r="L344" s="127"/>
    </row>
    <row r="345">
      <c r="A345" s="121"/>
      <c r="B345" s="122"/>
      <c r="D345" s="123"/>
      <c r="E345" s="123"/>
      <c r="F345" s="125"/>
      <c r="G345" s="125"/>
      <c r="I345" s="476"/>
      <c r="J345" s="402"/>
      <c r="K345" s="477"/>
      <c r="L345" s="127"/>
    </row>
    <row r="346">
      <c r="A346" s="121"/>
      <c r="B346" s="122"/>
      <c r="D346" s="123"/>
      <c r="E346" s="123"/>
      <c r="F346" s="125"/>
      <c r="G346" s="125"/>
      <c r="I346" s="476"/>
      <c r="J346" s="402"/>
      <c r="K346" s="477"/>
      <c r="L346" s="127"/>
    </row>
    <row r="347">
      <c r="A347" s="121"/>
      <c r="B347" s="122"/>
      <c r="D347" s="123"/>
      <c r="E347" s="123"/>
      <c r="F347" s="125"/>
      <c r="G347" s="125"/>
      <c r="I347" s="476"/>
      <c r="J347" s="402"/>
      <c r="K347" s="477"/>
      <c r="L347" s="127"/>
    </row>
    <row r="348">
      <c r="A348" s="121"/>
      <c r="B348" s="122"/>
      <c r="D348" s="123"/>
      <c r="E348" s="123"/>
      <c r="F348" s="125"/>
      <c r="G348" s="125"/>
      <c r="I348" s="476"/>
      <c r="J348" s="402"/>
      <c r="K348" s="477"/>
      <c r="L348" s="127"/>
    </row>
    <row r="349">
      <c r="A349" s="121"/>
      <c r="B349" s="122"/>
      <c r="D349" s="123"/>
      <c r="E349" s="123"/>
      <c r="F349" s="125"/>
      <c r="G349" s="125"/>
      <c r="I349" s="476"/>
      <c r="J349" s="402"/>
      <c r="K349" s="477"/>
      <c r="L349" s="127"/>
    </row>
    <row r="350">
      <c r="A350" s="121"/>
      <c r="B350" s="122"/>
      <c r="D350" s="123"/>
      <c r="E350" s="123"/>
      <c r="F350" s="125"/>
      <c r="G350" s="125"/>
      <c r="I350" s="476"/>
      <c r="J350" s="402"/>
      <c r="K350" s="477"/>
      <c r="L350" s="127"/>
    </row>
    <row r="351">
      <c r="A351" s="121"/>
      <c r="B351" s="122"/>
      <c r="D351" s="123"/>
      <c r="E351" s="123"/>
      <c r="F351" s="125"/>
      <c r="G351" s="125"/>
      <c r="I351" s="476"/>
      <c r="J351" s="402"/>
      <c r="K351" s="477"/>
      <c r="L351" s="127"/>
    </row>
    <row r="352">
      <c r="A352" s="121"/>
      <c r="B352" s="122"/>
      <c r="D352" s="123"/>
      <c r="E352" s="123"/>
      <c r="F352" s="125"/>
      <c r="G352" s="125"/>
      <c r="I352" s="476"/>
      <c r="J352" s="402"/>
      <c r="K352" s="477"/>
      <c r="L352" s="127"/>
    </row>
    <row r="353">
      <c r="A353" s="121"/>
      <c r="B353" s="122"/>
      <c r="D353" s="123"/>
      <c r="E353" s="123"/>
      <c r="F353" s="125"/>
      <c r="G353" s="125"/>
      <c r="I353" s="476"/>
      <c r="J353" s="402"/>
      <c r="K353" s="477"/>
      <c r="L353" s="127"/>
    </row>
    <row r="354">
      <c r="A354" s="121"/>
      <c r="B354" s="122"/>
      <c r="D354" s="123"/>
      <c r="E354" s="123"/>
      <c r="F354" s="125"/>
      <c r="G354" s="125"/>
      <c r="I354" s="476"/>
      <c r="J354" s="402"/>
      <c r="K354" s="477"/>
      <c r="L354" s="127"/>
    </row>
    <row r="355">
      <c r="A355" s="121"/>
      <c r="B355" s="122"/>
      <c r="D355" s="123"/>
      <c r="E355" s="123"/>
      <c r="F355" s="125"/>
      <c r="G355" s="125"/>
      <c r="I355" s="476"/>
      <c r="J355" s="402"/>
      <c r="K355" s="477"/>
      <c r="L355" s="127"/>
    </row>
    <row r="356">
      <c r="A356" s="121"/>
      <c r="B356" s="122"/>
      <c r="D356" s="123"/>
      <c r="E356" s="123"/>
      <c r="F356" s="125"/>
      <c r="G356" s="125"/>
      <c r="I356" s="476"/>
      <c r="J356" s="402"/>
      <c r="K356" s="477"/>
      <c r="L356" s="127"/>
    </row>
    <row r="357">
      <c r="A357" s="121"/>
      <c r="B357" s="122"/>
      <c r="D357" s="123"/>
      <c r="E357" s="123"/>
      <c r="F357" s="125"/>
      <c r="G357" s="125"/>
      <c r="I357" s="476"/>
      <c r="J357" s="402"/>
      <c r="K357" s="477"/>
      <c r="L357" s="127"/>
    </row>
    <row r="358">
      <c r="A358" s="121"/>
      <c r="B358" s="122"/>
      <c r="D358" s="123"/>
      <c r="E358" s="123"/>
      <c r="F358" s="125"/>
      <c r="G358" s="125"/>
      <c r="I358" s="476"/>
      <c r="J358" s="402"/>
      <c r="K358" s="477"/>
      <c r="L358" s="127"/>
    </row>
    <row r="359">
      <c r="A359" s="121"/>
      <c r="B359" s="122"/>
      <c r="D359" s="123"/>
      <c r="E359" s="123"/>
      <c r="F359" s="125"/>
      <c r="G359" s="125"/>
      <c r="I359" s="476"/>
      <c r="J359" s="402"/>
      <c r="K359" s="477"/>
      <c r="L359" s="127"/>
    </row>
    <row r="360">
      <c r="A360" s="121"/>
      <c r="B360" s="122"/>
      <c r="D360" s="123"/>
      <c r="E360" s="123"/>
      <c r="F360" s="125"/>
      <c r="G360" s="125"/>
      <c r="I360" s="476"/>
      <c r="J360" s="402"/>
      <c r="K360" s="477"/>
      <c r="L360" s="127"/>
    </row>
    <row r="361">
      <c r="A361" s="121"/>
      <c r="B361" s="122"/>
      <c r="D361" s="123"/>
      <c r="E361" s="123"/>
      <c r="F361" s="125"/>
      <c r="G361" s="125"/>
      <c r="I361" s="476"/>
      <c r="J361" s="402"/>
      <c r="K361" s="477"/>
      <c r="L361" s="127"/>
    </row>
    <row r="362">
      <c r="A362" s="121"/>
      <c r="B362" s="122"/>
      <c r="D362" s="123"/>
      <c r="E362" s="123"/>
      <c r="F362" s="125"/>
      <c r="G362" s="125"/>
      <c r="I362" s="476"/>
      <c r="J362" s="402"/>
      <c r="K362" s="477"/>
      <c r="L362" s="127"/>
    </row>
    <row r="363">
      <c r="A363" s="121"/>
      <c r="B363" s="122"/>
      <c r="D363" s="123"/>
      <c r="E363" s="123"/>
      <c r="F363" s="125"/>
      <c r="G363" s="125"/>
      <c r="I363" s="476"/>
      <c r="J363" s="402"/>
      <c r="K363" s="477"/>
      <c r="L363" s="127"/>
    </row>
    <row r="364">
      <c r="A364" s="121"/>
      <c r="B364" s="122"/>
      <c r="D364" s="123"/>
      <c r="E364" s="123"/>
      <c r="F364" s="125"/>
      <c r="G364" s="125"/>
      <c r="I364" s="476"/>
      <c r="J364" s="402"/>
      <c r="K364" s="477"/>
      <c r="L364" s="127"/>
    </row>
    <row r="365">
      <c r="A365" s="121"/>
      <c r="B365" s="122"/>
      <c r="D365" s="123"/>
      <c r="E365" s="123"/>
      <c r="F365" s="125"/>
      <c r="G365" s="125"/>
      <c r="I365" s="476"/>
      <c r="J365" s="402"/>
      <c r="K365" s="477"/>
      <c r="L365" s="127"/>
    </row>
    <row r="366">
      <c r="A366" s="121"/>
      <c r="B366" s="122"/>
      <c r="D366" s="123"/>
      <c r="E366" s="123"/>
      <c r="F366" s="125"/>
      <c r="G366" s="125"/>
      <c r="I366" s="476"/>
      <c r="J366" s="402"/>
      <c r="K366" s="477"/>
      <c r="L366" s="127"/>
    </row>
    <row r="367">
      <c r="A367" s="121"/>
      <c r="B367" s="122"/>
      <c r="D367" s="123"/>
      <c r="E367" s="123"/>
      <c r="F367" s="125"/>
      <c r="G367" s="125"/>
      <c r="I367" s="476"/>
      <c r="J367" s="402"/>
      <c r="K367" s="477"/>
      <c r="L367" s="127"/>
    </row>
    <row r="368">
      <c r="A368" s="121"/>
      <c r="B368" s="122"/>
      <c r="D368" s="123"/>
      <c r="E368" s="123"/>
      <c r="F368" s="125"/>
      <c r="G368" s="125"/>
      <c r="I368" s="476"/>
      <c r="J368" s="402"/>
      <c r="K368" s="477"/>
      <c r="L368" s="127"/>
    </row>
    <row r="369">
      <c r="A369" s="121"/>
      <c r="B369" s="122"/>
      <c r="D369" s="123"/>
      <c r="E369" s="123"/>
      <c r="F369" s="125"/>
      <c r="G369" s="125"/>
      <c r="I369" s="476"/>
      <c r="J369" s="402"/>
      <c r="K369" s="477"/>
      <c r="L369" s="127"/>
    </row>
    <row r="370">
      <c r="A370" s="121"/>
      <c r="B370" s="122"/>
      <c r="D370" s="123"/>
      <c r="E370" s="123"/>
      <c r="F370" s="125"/>
      <c r="G370" s="125"/>
      <c r="I370" s="476"/>
      <c r="J370" s="402"/>
      <c r="K370" s="477"/>
      <c r="L370" s="127"/>
    </row>
    <row r="371">
      <c r="A371" s="121"/>
      <c r="B371" s="122"/>
      <c r="D371" s="123"/>
      <c r="E371" s="123"/>
      <c r="F371" s="125"/>
      <c r="G371" s="125"/>
      <c r="I371" s="476"/>
      <c r="J371" s="402"/>
      <c r="K371" s="477"/>
      <c r="L371" s="127"/>
    </row>
    <row r="372">
      <c r="A372" s="121"/>
      <c r="B372" s="122"/>
      <c r="D372" s="123"/>
      <c r="E372" s="123"/>
      <c r="F372" s="125"/>
      <c r="G372" s="125"/>
      <c r="I372" s="476"/>
      <c r="J372" s="402"/>
      <c r="K372" s="477"/>
      <c r="L372" s="127"/>
    </row>
    <row r="373">
      <c r="A373" s="121"/>
      <c r="B373" s="122"/>
      <c r="D373" s="123"/>
      <c r="E373" s="123"/>
      <c r="F373" s="125"/>
      <c r="G373" s="125"/>
      <c r="I373" s="476"/>
      <c r="J373" s="402"/>
      <c r="K373" s="477"/>
      <c r="L373" s="127"/>
    </row>
    <row r="374">
      <c r="A374" s="121"/>
      <c r="B374" s="122"/>
      <c r="D374" s="123"/>
      <c r="E374" s="123"/>
      <c r="F374" s="125"/>
      <c r="G374" s="125"/>
      <c r="I374" s="476"/>
      <c r="J374" s="402"/>
      <c r="K374" s="477"/>
      <c r="L374" s="127"/>
    </row>
    <row r="375">
      <c r="A375" s="121"/>
      <c r="B375" s="122"/>
      <c r="D375" s="123"/>
      <c r="E375" s="123"/>
      <c r="F375" s="125"/>
      <c r="G375" s="125"/>
      <c r="I375" s="476"/>
      <c r="J375" s="402"/>
      <c r="K375" s="477"/>
      <c r="L375" s="127"/>
    </row>
    <row r="376">
      <c r="A376" s="121"/>
      <c r="B376" s="122"/>
      <c r="D376" s="123"/>
      <c r="E376" s="123"/>
      <c r="F376" s="125"/>
      <c r="G376" s="125"/>
      <c r="I376" s="476"/>
      <c r="J376" s="402"/>
      <c r="K376" s="477"/>
      <c r="L376" s="127"/>
    </row>
    <row r="377">
      <c r="A377" s="121"/>
      <c r="B377" s="122"/>
      <c r="D377" s="123"/>
      <c r="E377" s="123"/>
      <c r="F377" s="125"/>
      <c r="G377" s="125"/>
      <c r="I377" s="476"/>
      <c r="J377" s="402"/>
      <c r="K377" s="477"/>
      <c r="L377" s="127"/>
    </row>
    <row r="378">
      <c r="A378" s="121"/>
      <c r="B378" s="122"/>
      <c r="D378" s="123"/>
      <c r="E378" s="123"/>
      <c r="F378" s="125"/>
      <c r="G378" s="125"/>
      <c r="I378" s="476"/>
      <c r="J378" s="402"/>
      <c r="K378" s="477"/>
      <c r="L378" s="127"/>
    </row>
    <row r="379">
      <c r="A379" s="121"/>
      <c r="B379" s="122"/>
      <c r="D379" s="123"/>
      <c r="E379" s="123"/>
      <c r="F379" s="125"/>
      <c r="G379" s="125"/>
      <c r="I379" s="476"/>
      <c r="J379" s="402"/>
      <c r="K379" s="477"/>
      <c r="L379" s="127"/>
    </row>
    <row r="380">
      <c r="A380" s="121"/>
      <c r="B380" s="122"/>
      <c r="D380" s="123"/>
      <c r="E380" s="123"/>
      <c r="F380" s="125"/>
      <c r="G380" s="125"/>
      <c r="I380" s="476"/>
      <c r="J380" s="402"/>
      <c r="K380" s="477"/>
      <c r="L380" s="127"/>
    </row>
    <row r="381">
      <c r="A381" s="121"/>
      <c r="B381" s="122"/>
      <c r="D381" s="123"/>
      <c r="E381" s="123"/>
      <c r="F381" s="125"/>
      <c r="G381" s="125"/>
      <c r="I381" s="476"/>
      <c r="J381" s="402"/>
      <c r="K381" s="477"/>
      <c r="L381" s="127"/>
    </row>
    <row r="382">
      <c r="A382" s="121"/>
      <c r="B382" s="122"/>
      <c r="D382" s="123"/>
      <c r="E382" s="123"/>
      <c r="F382" s="125"/>
      <c r="G382" s="125"/>
      <c r="I382" s="476"/>
      <c r="J382" s="402"/>
      <c r="K382" s="477"/>
      <c r="L382" s="127"/>
    </row>
    <row r="383">
      <c r="A383" s="121"/>
      <c r="B383" s="122"/>
      <c r="D383" s="123"/>
      <c r="E383" s="123"/>
      <c r="F383" s="125"/>
      <c r="G383" s="125"/>
      <c r="I383" s="476"/>
      <c r="J383" s="402"/>
      <c r="K383" s="477"/>
      <c r="L383" s="127"/>
    </row>
    <row r="384">
      <c r="A384" s="121"/>
      <c r="B384" s="122"/>
      <c r="D384" s="123"/>
      <c r="E384" s="123"/>
      <c r="F384" s="125"/>
      <c r="G384" s="125"/>
      <c r="I384" s="476"/>
      <c r="J384" s="402"/>
      <c r="K384" s="477"/>
      <c r="L384" s="127"/>
    </row>
    <row r="385">
      <c r="A385" s="121"/>
      <c r="B385" s="122"/>
      <c r="D385" s="123"/>
      <c r="E385" s="123"/>
      <c r="F385" s="125"/>
      <c r="G385" s="125"/>
      <c r="I385" s="476"/>
      <c r="J385" s="402"/>
      <c r="K385" s="477"/>
      <c r="L385" s="127"/>
    </row>
    <row r="386">
      <c r="A386" s="121"/>
      <c r="B386" s="122"/>
      <c r="D386" s="123"/>
      <c r="E386" s="123"/>
      <c r="F386" s="125"/>
      <c r="G386" s="125"/>
      <c r="I386" s="476"/>
      <c r="J386" s="402"/>
      <c r="K386" s="477"/>
      <c r="L386" s="127"/>
    </row>
    <row r="387">
      <c r="A387" s="121"/>
      <c r="B387" s="122"/>
      <c r="D387" s="123"/>
      <c r="E387" s="123"/>
      <c r="F387" s="125"/>
      <c r="G387" s="125"/>
      <c r="I387" s="476"/>
      <c r="J387" s="402"/>
      <c r="K387" s="477"/>
      <c r="L387" s="127"/>
    </row>
    <row r="388">
      <c r="A388" s="121"/>
      <c r="B388" s="122"/>
      <c r="D388" s="123"/>
      <c r="E388" s="123"/>
      <c r="F388" s="125"/>
      <c r="G388" s="125"/>
      <c r="I388" s="476"/>
      <c r="J388" s="402"/>
      <c r="K388" s="477"/>
      <c r="L388" s="127"/>
    </row>
    <row r="389">
      <c r="A389" s="121"/>
      <c r="B389" s="122"/>
      <c r="D389" s="123"/>
      <c r="E389" s="123"/>
      <c r="F389" s="125"/>
      <c r="G389" s="125"/>
      <c r="I389" s="476"/>
      <c r="J389" s="402"/>
      <c r="K389" s="477"/>
      <c r="L389" s="127"/>
    </row>
    <row r="390">
      <c r="A390" s="121"/>
      <c r="B390" s="122"/>
      <c r="D390" s="123"/>
      <c r="E390" s="123"/>
      <c r="F390" s="125"/>
      <c r="G390" s="125"/>
      <c r="I390" s="476"/>
      <c r="J390" s="402"/>
      <c r="K390" s="477"/>
      <c r="L390" s="127"/>
    </row>
    <row r="391">
      <c r="A391" s="121"/>
      <c r="B391" s="122"/>
      <c r="D391" s="123"/>
      <c r="E391" s="123"/>
      <c r="F391" s="125"/>
      <c r="G391" s="125"/>
      <c r="I391" s="476"/>
      <c r="J391" s="402"/>
      <c r="K391" s="477"/>
      <c r="L391" s="127"/>
    </row>
    <row r="392">
      <c r="A392" s="121"/>
      <c r="B392" s="122"/>
      <c r="D392" s="123"/>
      <c r="E392" s="123"/>
      <c r="F392" s="125"/>
      <c r="G392" s="125"/>
      <c r="I392" s="476"/>
      <c r="J392" s="402"/>
      <c r="K392" s="477"/>
      <c r="L392" s="127"/>
    </row>
    <row r="393">
      <c r="A393" s="121"/>
      <c r="B393" s="122"/>
      <c r="D393" s="123"/>
      <c r="E393" s="123"/>
      <c r="F393" s="125"/>
      <c r="G393" s="125"/>
      <c r="I393" s="476"/>
      <c r="J393" s="402"/>
      <c r="K393" s="477"/>
      <c r="L393" s="127"/>
    </row>
    <row r="394">
      <c r="A394" s="121"/>
      <c r="B394" s="122"/>
      <c r="D394" s="123"/>
      <c r="E394" s="123"/>
      <c r="F394" s="125"/>
      <c r="G394" s="125"/>
      <c r="I394" s="476"/>
      <c r="J394" s="402"/>
      <c r="K394" s="477"/>
      <c r="L394" s="127"/>
    </row>
    <row r="395">
      <c r="A395" s="121"/>
      <c r="B395" s="122"/>
      <c r="D395" s="123"/>
      <c r="E395" s="123"/>
      <c r="F395" s="125"/>
      <c r="G395" s="125"/>
      <c r="I395" s="476"/>
      <c r="J395" s="402"/>
      <c r="K395" s="477"/>
      <c r="L395" s="127"/>
    </row>
    <row r="396">
      <c r="A396" s="121"/>
      <c r="B396" s="122"/>
      <c r="D396" s="123"/>
      <c r="E396" s="123"/>
      <c r="F396" s="125"/>
      <c r="G396" s="125"/>
      <c r="I396" s="476"/>
      <c r="J396" s="402"/>
      <c r="K396" s="477"/>
      <c r="L396" s="127"/>
    </row>
    <row r="397">
      <c r="A397" s="121"/>
      <c r="B397" s="122"/>
      <c r="D397" s="123"/>
      <c r="E397" s="123"/>
      <c r="F397" s="125"/>
      <c r="G397" s="125"/>
      <c r="I397" s="476"/>
      <c r="J397" s="402"/>
      <c r="K397" s="477"/>
      <c r="L397" s="127"/>
    </row>
    <row r="398">
      <c r="A398" s="121"/>
      <c r="B398" s="122"/>
      <c r="D398" s="123"/>
      <c r="E398" s="123"/>
      <c r="F398" s="125"/>
      <c r="G398" s="125"/>
      <c r="I398" s="476"/>
      <c r="J398" s="402"/>
      <c r="K398" s="477"/>
      <c r="L398" s="127"/>
    </row>
    <row r="399">
      <c r="A399" s="121"/>
      <c r="B399" s="122"/>
      <c r="D399" s="123"/>
      <c r="E399" s="123"/>
      <c r="F399" s="125"/>
      <c r="G399" s="125"/>
      <c r="I399" s="476"/>
      <c r="J399" s="402"/>
      <c r="K399" s="477"/>
      <c r="L399" s="127"/>
    </row>
    <row r="400">
      <c r="A400" s="121"/>
      <c r="B400" s="122"/>
      <c r="D400" s="123"/>
      <c r="E400" s="123"/>
      <c r="F400" s="125"/>
      <c r="G400" s="125"/>
      <c r="I400" s="476"/>
      <c r="J400" s="402"/>
      <c r="K400" s="477"/>
      <c r="L400" s="127"/>
    </row>
    <row r="401">
      <c r="A401" s="121"/>
      <c r="B401" s="122"/>
      <c r="D401" s="123"/>
      <c r="E401" s="123"/>
      <c r="F401" s="125"/>
      <c r="G401" s="125"/>
      <c r="I401" s="476"/>
      <c r="J401" s="402"/>
      <c r="K401" s="477"/>
      <c r="L401" s="127"/>
    </row>
    <row r="402">
      <c r="A402" s="121"/>
      <c r="B402" s="122"/>
      <c r="D402" s="123"/>
      <c r="E402" s="123"/>
      <c r="F402" s="125"/>
      <c r="G402" s="125"/>
      <c r="I402" s="476"/>
      <c r="J402" s="402"/>
      <c r="K402" s="477"/>
      <c r="L402" s="127"/>
    </row>
    <row r="403">
      <c r="A403" s="121"/>
      <c r="B403" s="122"/>
      <c r="D403" s="123"/>
      <c r="E403" s="123"/>
      <c r="F403" s="125"/>
      <c r="G403" s="125"/>
      <c r="I403" s="476"/>
      <c r="J403" s="402"/>
      <c r="K403" s="477"/>
      <c r="L403" s="127"/>
    </row>
    <row r="404">
      <c r="A404" s="121"/>
      <c r="B404" s="122"/>
      <c r="D404" s="123"/>
      <c r="E404" s="123"/>
      <c r="F404" s="125"/>
      <c r="G404" s="125"/>
      <c r="I404" s="476"/>
      <c r="J404" s="402"/>
      <c r="K404" s="477"/>
      <c r="L404" s="127"/>
    </row>
    <row r="405">
      <c r="A405" s="121"/>
      <c r="B405" s="122"/>
      <c r="D405" s="123"/>
      <c r="E405" s="123"/>
      <c r="F405" s="125"/>
      <c r="G405" s="125"/>
      <c r="I405" s="476"/>
      <c r="J405" s="402"/>
      <c r="K405" s="477"/>
      <c r="L405" s="127"/>
    </row>
    <row r="406">
      <c r="A406" s="121"/>
      <c r="B406" s="122"/>
      <c r="D406" s="123"/>
      <c r="E406" s="123"/>
      <c r="F406" s="125"/>
      <c r="G406" s="125"/>
      <c r="I406" s="476"/>
      <c r="J406" s="402"/>
      <c r="K406" s="477"/>
      <c r="L406" s="127"/>
    </row>
    <row r="407">
      <c r="A407" s="121"/>
      <c r="B407" s="122"/>
      <c r="D407" s="123"/>
      <c r="E407" s="123"/>
      <c r="F407" s="125"/>
      <c r="G407" s="125"/>
      <c r="I407" s="476"/>
      <c r="J407" s="402"/>
      <c r="K407" s="477"/>
      <c r="L407" s="127"/>
    </row>
    <row r="408">
      <c r="A408" s="121"/>
      <c r="B408" s="122"/>
      <c r="D408" s="123"/>
      <c r="E408" s="123"/>
      <c r="F408" s="125"/>
      <c r="G408" s="125"/>
      <c r="I408" s="476"/>
      <c r="J408" s="402"/>
      <c r="K408" s="477"/>
      <c r="L408" s="127"/>
    </row>
    <row r="409">
      <c r="A409" s="121"/>
      <c r="B409" s="122"/>
      <c r="D409" s="123"/>
      <c r="E409" s="123"/>
      <c r="F409" s="125"/>
      <c r="G409" s="125"/>
      <c r="I409" s="476"/>
      <c r="J409" s="402"/>
      <c r="K409" s="477"/>
      <c r="L409" s="127"/>
    </row>
    <row r="410">
      <c r="A410" s="121"/>
      <c r="B410" s="122"/>
      <c r="D410" s="123"/>
      <c r="E410" s="123"/>
      <c r="F410" s="125"/>
      <c r="G410" s="125"/>
      <c r="I410" s="476"/>
      <c r="J410" s="402"/>
      <c r="K410" s="477"/>
      <c r="L410" s="127"/>
    </row>
    <row r="411">
      <c r="A411" s="121"/>
      <c r="B411" s="122"/>
      <c r="D411" s="123"/>
      <c r="E411" s="123"/>
      <c r="F411" s="125"/>
      <c r="G411" s="125"/>
      <c r="I411" s="476"/>
      <c r="J411" s="402"/>
      <c r="K411" s="477"/>
      <c r="L411" s="127"/>
    </row>
    <row r="412">
      <c r="A412" s="121"/>
      <c r="B412" s="122"/>
      <c r="D412" s="123"/>
      <c r="E412" s="123"/>
      <c r="F412" s="125"/>
      <c r="G412" s="125"/>
      <c r="I412" s="476"/>
      <c r="J412" s="402"/>
      <c r="K412" s="477"/>
      <c r="L412" s="127"/>
    </row>
    <row r="413">
      <c r="A413" s="121"/>
      <c r="B413" s="122"/>
      <c r="D413" s="123"/>
      <c r="E413" s="123"/>
      <c r="F413" s="125"/>
      <c r="G413" s="125"/>
      <c r="I413" s="476"/>
      <c r="J413" s="402"/>
      <c r="K413" s="477"/>
      <c r="L413" s="127"/>
    </row>
    <row r="414">
      <c r="A414" s="121"/>
      <c r="B414" s="122"/>
      <c r="D414" s="123"/>
      <c r="E414" s="123"/>
      <c r="F414" s="125"/>
      <c r="G414" s="125"/>
      <c r="I414" s="476"/>
      <c r="J414" s="402"/>
      <c r="K414" s="477"/>
      <c r="L414" s="127"/>
    </row>
    <row r="415">
      <c r="A415" s="121"/>
      <c r="B415" s="122"/>
      <c r="D415" s="123"/>
      <c r="E415" s="123"/>
      <c r="F415" s="125"/>
      <c r="G415" s="125"/>
      <c r="I415" s="476"/>
      <c r="J415" s="402"/>
      <c r="K415" s="477"/>
      <c r="L415" s="127"/>
    </row>
    <row r="416">
      <c r="A416" s="121"/>
      <c r="B416" s="122"/>
      <c r="D416" s="123"/>
      <c r="E416" s="123"/>
      <c r="F416" s="125"/>
      <c r="G416" s="125"/>
      <c r="I416" s="476"/>
      <c r="J416" s="402"/>
      <c r="K416" s="477"/>
      <c r="L416" s="127"/>
    </row>
    <row r="417">
      <c r="A417" s="121"/>
      <c r="B417" s="122"/>
      <c r="D417" s="123"/>
      <c r="E417" s="123"/>
      <c r="F417" s="125"/>
      <c r="G417" s="125"/>
      <c r="I417" s="476"/>
      <c r="J417" s="402"/>
      <c r="K417" s="477"/>
      <c r="L417" s="127"/>
    </row>
    <row r="418">
      <c r="A418" s="121"/>
      <c r="B418" s="122"/>
      <c r="D418" s="123"/>
      <c r="E418" s="123"/>
      <c r="F418" s="125"/>
      <c r="G418" s="125"/>
      <c r="I418" s="476"/>
      <c r="J418" s="402"/>
      <c r="K418" s="477"/>
      <c r="L418" s="127"/>
    </row>
    <row r="419">
      <c r="A419" s="121"/>
      <c r="B419" s="122"/>
      <c r="D419" s="123"/>
      <c r="E419" s="123"/>
      <c r="F419" s="125"/>
      <c r="G419" s="125"/>
      <c r="I419" s="476"/>
      <c r="J419" s="402"/>
      <c r="K419" s="477"/>
      <c r="L419" s="127"/>
    </row>
    <row r="420">
      <c r="A420" s="121"/>
      <c r="B420" s="122"/>
      <c r="D420" s="123"/>
      <c r="E420" s="123"/>
      <c r="F420" s="125"/>
      <c r="G420" s="125"/>
      <c r="I420" s="476"/>
      <c r="J420" s="402"/>
      <c r="K420" s="477"/>
      <c r="L420" s="127"/>
    </row>
    <row r="421">
      <c r="A421" s="121"/>
      <c r="B421" s="122"/>
      <c r="D421" s="123"/>
      <c r="E421" s="123"/>
      <c r="F421" s="125"/>
      <c r="G421" s="125"/>
      <c r="I421" s="476"/>
      <c r="J421" s="402"/>
      <c r="K421" s="477"/>
      <c r="L421" s="127"/>
    </row>
    <row r="422">
      <c r="A422" s="121"/>
      <c r="B422" s="122"/>
      <c r="D422" s="123"/>
      <c r="E422" s="123"/>
      <c r="F422" s="125"/>
      <c r="G422" s="125"/>
      <c r="I422" s="476"/>
      <c r="J422" s="402"/>
      <c r="K422" s="477"/>
      <c r="L422" s="127"/>
    </row>
    <row r="423">
      <c r="A423" s="121"/>
      <c r="B423" s="122"/>
      <c r="D423" s="123"/>
      <c r="E423" s="123"/>
      <c r="F423" s="125"/>
      <c r="G423" s="125"/>
      <c r="I423" s="476"/>
      <c r="J423" s="402"/>
      <c r="K423" s="477"/>
      <c r="L423" s="127"/>
    </row>
    <row r="424">
      <c r="A424" s="121"/>
      <c r="B424" s="122"/>
      <c r="D424" s="123"/>
      <c r="E424" s="123"/>
      <c r="F424" s="125"/>
      <c r="G424" s="125"/>
      <c r="I424" s="476"/>
      <c r="J424" s="402"/>
      <c r="K424" s="477"/>
      <c r="L424" s="127"/>
    </row>
    <row r="425">
      <c r="A425" s="121"/>
      <c r="B425" s="122"/>
      <c r="D425" s="123"/>
      <c r="E425" s="123"/>
      <c r="F425" s="125"/>
      <c r="G425" s="125"/>
      <c r="I425" s="476"/>
      <c r="J425" s="402"/>
      <c r="K425" s="477"/>
      <c r="L425" s="127"/>
    </row>
    <row r="426">
      <c r="A426" s="121"/>
      <c r="B426" s="122"/>
      <c r="D426" s="123"/>
      <c r="E426" s="123"/>
      <c r="F426" s="125"/>
      <c r="G426" s="125"/>
      <c r="I426" s="476"/>
      <c r="J426" s="402"/>
      <c r="K426" s="477"/>
      <c r="L426" s="127"/>
    </row>
    <row r="427">
      <c r="A427" s="121"/>
      <c r="B427" s="122"/>
      <c r="D427" s="123"/>
      <c r="E427" s="123"/>
      <c r="F427" s="125"/>
      <c r="G427" s="125"/>
      <c r="I427" s="476"/>
      <c r="J427" s="402"/>
      <c r="K427" s="477"/>
      <c r="L427" s="127"/>
    </row>
    <row r="428">
      <c r="A428" s="121"/>
      <c r="B428" s="122"/>
      <c r="D428" s="123"/>
      <c r="E428" s="123"/>
      <c r="F428" s="125"/>
      <c r="G428" s="125"/>
      <c r="I428" s="476"/>
      <c r="J428" s="402"/>
      <c r="K428" s="477"/>
      <c r="L428" s="127"/>
    </row>
    <row r="429">
      <c r="A429" s="121"/>
      <c r="B429" s="122"/>
      <c r="D429" s="123"/>
      <c r="E429" s="123"/>
      <c r="F429" s="125"/>
      <c r="G429" s="125"/>
      <c r="I429" s="476"/>
      <c r="J429" s="402"/>
      <c r="K429" s="477"/>
      <c r="L429" s="127"/>
    </row>
    <row r="430">
      <c r="A430" s="121"/>
      <c r="B430" s="122"/>
      <c r="D430" s="123"/>
      <c r="E430" s="123"/>
      <c r="F430" s="125"/>
      <c r="G430" s="125"/>
      <c r="I430" s="476"/>
      <c r="J430" s="402"/>
      <c r="K430" s="477"/>
      <c r="L430" s="127"/>
    </row>
    <row r="431">
      <c r="A431" s="121"/>
      <c r="B431" s="122"/>
      <c r="D431" s="123"/>
      <c r="E431" s="123"/>
      <c r="F431" s="125"/>
      <c r="G431" s="125"/>
      <c r="I431" s="476"/>
      <c r="J431" s="402"/>
      <c r="K431" s="477"/>
      <c r="L431" s="127"/>
    </row>
    <row r="432">
      <c r="A432" s="121"/>
      <c r="B432" s="122"/>
      <c r="D432" s="123"/>
      <c r="E432" s="123"/>
      <c r="F432" s="125"/>
      <c r="G432" s="125"/>
      <c r="I432" s="476"/>
      <c r="J432" s="402"/>
      <c r="K432" s="477"/>
      <c r="L432" s="127"/>
    </row>
    <row r="433">
      <c r="A433" s="121"/>
      <c r="B433" s="122"/>
      <c r="D433" s="123"/>
      <c r="E433" s="123"/>
      <c r="F433" s="125"/>
      <c r="G433" s="125"/>
      <c r="I433" s="476"/>
      <c r="J433" s="402"/>
      <c r="K433" s="477"/>
      <c r="L433" s="127"/>
    </row>
    <row r="434">
      <c r="A434" s="121"/>
      <c r="B434" s="122"/>
      <c r="D434" s="123"/>
      <c r="E434" s="123"/>
      <c r="F434" s="125"/>
      <c r="G434" s="125"/>
      <c r="I434" s="476"/>
      <c r="J434" s="402"/>
      <c r="K434" s="477"/>
      <c r="L434" s="127"/>
    </row>
    <row r="435">
      <c r="A435" s="121"/>
      <c r="B435" s="122"/>
      <c r="D435" s="123"/>
      <c r="E435" s="123"/>
      <c r="F435" s="125"/>
      <c r="G435" s="125"/>
      <c r="I435" s="476"/>
      <c r="J435" s="402"/>
      <c r="K435" s="477"/>
      <c r="L435" s="127"/>
    </row>
    <row r="436">
      <c r="A436" s="121"/>
      <c r="B436" s="122"/>
      <c r="D436" s="123"/>
      <c r="E436" s="123"/>
      <c r="F436" s="125"/>
      <c r="G436" s="125"/>
      <c r="I436" s="476"/>
      <c r="J436" s="402"/>
      <c r="K436" s="477"/>
      <c r="L436" s="127"/>
    </row>
    <row r="437">
      <c r="A437" s="121"/>
      <c r="B437" s="122"/>
      <c r="D437" s="123"/>
      <c r="E437" s="123"/>
      <c r="F437" s="125"/>
      <c r="G437" s="125"/>
      <c r="I437" s="476"/>
      <c r="J437" s="402"/>
      <c r="K437" s="477"/>
      <c r="L437" s="127"/>
    </row>
    <row r="438">
      <c r="A438" s="121"/>
      <c r="B438" s="122"/>
      <c r="D438" s="123"/>
      <c r="E438" s="123"/>
      <c r="F438" s="125"/>
      <c r="G438" s="125"/>
      <c r="I438" s="476"/>
      <c r="J438" s="402"/>
      <c r="K438" s="477"/>
      <c r="L438" s="127"/>
    </row>
    <row r="439">
      <c r="A439" s="121"/>
      <c r="B439" s="122"/>
      <c r="D439" s="123"/>
      <c r="E439" s="123"/>
      <c r="F439" s="125"/>
      <c r="G439" s="125"/>
      <c r="I439" s="476"/>
      <c r="J439" s="402"/>
      <c r="K439" s="477"/>
      <c r="L439" s="127"/>
    </row>
    <row r="440">
      <c r="A440" s="121"/>
      <c r="B440" s="122"/>
      <c r="D440" s="123"/>
      <c r="E440" s="123"/>
      <c r="F440" s="125"/>
      <c r="G440" s="125"/>
      <c r="I440" s="476"/>
      <c r="J440" s="402"/>
      <c r="K440" s="477"/>
      <c r="L440" s="127"/>
    </row>
    <row r="441">
      <c r="A441" s="121"/>
      <c r="B441" s="122"/>
      <c r="D441" s="123"/>
      <c r="E441" s="123"/>
      <c r="F441" s="125"/>
      <c r="G441" s="125"/>
      <c r="I441" s="476"/>
      <c r="J441" s="402"/>
      <c r="K441" s="477"/>
      <c r="L441" s="127"/>
    </row>
    <row r="442">
      <c r="A442" s="121"/>
      <c r="B442" s="122"/>
      <c r="D442" s="123"/>
      <c r="E442" s="123"/>
      <c r="F442" s="125"/>
      <c r="G442" s="125"/>
      <c r="I442" s="476"/>
      <c r="J442" s="402"/>
      <c r="K442" s="477"/>
      <c r="L442" s="127"/>
    </row>
    <row r="443">
      <c r="A443" s="121"/>
      <c r="B443" s="122"/>
      <c r="D443" s="123"/>
      <c r="E443" s="123"/>
      <c r="F443" s="125"/>
      <c r="G443" s="125"/>
      <c r="I443" s="476"/>
      <c r="J443" s="402"/>
      <c r="K443" s="477"/>
      <c r="L443" s="127"/>
    </row>
    <row r="444">
      <c r="A444" s="121"/>
      <c r="B444" s="122"/>
      <c r="D444" s="123"/>
      <c r="E444" s="123"/>
      <c r="F444" s="125"/>
      <c r="G444" s="125"/>
      <c r="I444" s="476"/>
      <c r="J444" s="402"/>
      <c r="K444" s="477"/>
      <c r="L444" s="127"/>
    </row>
    <row r="445">
      <c r="A445" s="121"/>
      <c r="B445" s="122"/>
      <c r="D445" s="123"/>
      <c r="E445" s="123"/>
      <c r="F445" s="125"/>
      <c r="G445" s="125"/>
      <c r="I445" s="476"/>
      <c r="J445" s="402"/>
      <c r="K445" s="477"/>
      <c r="L445" s="127"/>
    </row>
    <row r="446">
      <c r="A446" s="121"/>
      <c r="B446" s="122"/>
      <c r="D446" s="123"/>
      <c r="E446" s="123"/>
      <c r="F446" s="125"/>
      <c r="G446" s="125"/>
      <c r="I446" s="476"/>
      <c r="J446" s="402"/>
      <c r="K446" s="477"/>
      <c r="L446" s="127"/>
    </row>
    <row r="447">
      <c r="A447" s="121"/>
      <c r="B447" s="122"/>
      <c r="D447" s="123"/>
      <c r="E447" s="123"/>
      <c r="F447" s="125"/>
      <c r="G447" s="125"/>
      <c r="I447" s="476"/>
      <c r="J447" s="402"/>
      <c r="K447" s="477"/>
      <c r="L447" s="127"/>
    </row>
    <row r="448">
      <c r="A448" s="121"/>
      <c r="B448" s="122"/>
      <c r="D448" s="123"/>
      <c r="E448" s="123"/>
      <c r="F448" s="125"/>
      <c r="G448" s="125"/>
      <c r="I448" s="476"/>
      <c r="J448" s="402"/>
      <c r="K448" s="477"/>
      <c r="L448" s="127"/>
    </row>
    <row r="449">
      <c r="A449" s="121"/>
      <c r="B449" s="122"/>
      <c r="D449" s="123"/>
      <c r="E449" s="123"/>
      <c r="F449" s="125"/>
      <c r="G449" s="125"/>
      <c r="I449" s="476"/>
      <c r="J449" s="402"/>
      <c r="K449" s="477"/>
      <c r="L449" s="127"/>
    </row>
    <row r="450">
      <c r="A450" s="121"/>
      <c r="B450" s="122"/>
      <c r="D450" s="123"/>
      <c r="E450" s="123"/>
      <c r="F450" s="125"/>
      <c r="G450" s="125"/>
      <c r="I450" s="476"/>
      <c r="J450" s="402"/>
      <c r="K450" s="477"/>
      <c r="L450" s="127"/>
    </row>
    <row r="451">
      <c r="A451" s="121"/>
      <c r="B451" s="122"/>
      <c r="D451" s="123"/>
      <c r="E451" s="123"/>
      <c r="F451" s="125"/>
      <c r="G451" s="125"/>
      <c r="I451" s="476"/>
      <c r="J451" s="402"/>
      <c r="K451" s="477"/>
      <c r="L451" s="127"/>
    </row>
    <row r="452">
      <c r="A452" s="121"/>
      <c r="B452" s="122"/>
      <c r="D452" s="123"/>
      <c r="E452" s="123"/>
      <c r="F452" s="125"/>
      <c r="G452" s="125"/>
      <c r="I452" s="476"/>
      <c r="J452" s="402"/>
      <c r="K452" s="477"/>
      <c r="L452" s="127"/>
    </row>
    <row r="453">
      <c r="A453" s="121"/>
      <c r="B453" s="122"/>
      <c r="D453" s="123"/>
      <c r="E453" s="123"/>
      <c r="F453" s="125"/>
      <c r="G453" s="125"/>
      <c r="I453" s="476"/>
      <c r="J453" s="402"/>
      <c r="K453" s="477"/>
      <c r="L453" s="127"/>
    </row>
    <row r="454">
      <c r="A454" s="121"/>
      <c r="B454" s="122"/>
      <c r="D454" s="123"/>
      <c r="E454" s="123"/>
      <c r="F454" s="125"/>
      <c r="G454" s="125"/>
      <c r="I454" s="476"/>
      <c r="J454" s="402"/>
      <c r="K454" s="477"/>
      <c r="L454" s="127"/>
    </row>
    <row r="455">
      <c r="A455" s="121"/>
      <c r="B455" s="122"/>
      <c r="D455" s="123"/>
      <c r="E455" s="123"/>
      <c r="F455" s="125"/>
      <c r="G455" s="125"/>
      <c r="I455" s="476"/>
      <c r="J455" s="402"/>
      <c r="K455" s="477"/>
      <c r="L455" s="127"/>
    </row>
    <row r="456">
      <c r="A456" s="121"/>
      <c r="B456" s="122"/>
      <c r="D456" s="123"/>
      <c r="E456" s="123"/>
      <c r="F456" s="125"/>
      <c r="G456" s="125"/>
      <c r="I456" s="476"/>
      <c r="J456" s="402"/>
      <c r="K456" s="477"/>
      <c r="L456" s="127"/>
    </row>
    <row r="457">
      <c r="A457" s="121"/>
      <c r="B457" s="122"/>
      <c r="D457" s="123"/>
      <c r="E457" s="123"/>
      <c r="F457" s="125"/>
      <c r="G457" s="125"/>
      <c r="I457" s="476"/>
      <c r="J457" s="402"/>
      <c r="K457" s="477"/>
      <c r="L457" s="127"/>
    </row>
    <row r="458">
      <c r="A458" s="121"/>
      <c r="B458" s="122"/>
      <c r="D458" s="123"/>
      <c r="E458" s="123"/>
      <c r="F458" s="125"/>
      <c r="G458" s="125"/>
      <c r="I458" s="476"/>
      <c r="J458" s="402"/>
      <c r="K458" s="477"/>
      <c r="L458" s="127"/>
    </row>
    <row r="459">
      <c r="A459" s="121"/>
      <c r="B459" s="122"/>
      <c r="D459" s="123"/>
      <c r="E459" s="123"/>
      <c r="F459" s="125"/>
      <c r="G459" s="125"/>
      <c r="I459" s="476"/>
      <c r="J459" s="402"/>
      <c r="K459" s="477"/>
      <c r="L459" s="127"/>
    </row>
    <row r="460">
      <c r="A460" s="121"/>
      <c r="B460" s="122"/>
      <c r="D460" s="123"/>
      <c r="E460" s="123"/>
      <c r="F460" s="125"/>
      <c r="G460" s="125"/>
      <c r="I460" s="476"/>
      <c r="J460" s="402"/>
      <c r="K460" s="477"/>
      <c r="L460" s="127"/>
    </row>
    <row r="461">
      <c r="A461" s="121"/>
      <c r="B461" s="122"/>
      <c r="D461" s="123"/>
      <c r="E461" s="123"/>
      <c r="F461" s="125"/>
      <c r="G461" s="125"/>
      <c r="I461" s="476"/>
      <c r="J461" s="402"/>
      <c r="K461" s="477"/>
      <c r="L461" s="127"/>
    </row>
    <row r="462">
      <c r="A462" s="121"/>
      <c r="B462" s="122"/>
      <c r="D462" s="123"/>
      <c r="E462" s="123"/>
      <c r="F462" s="125"/>
      <c r="G462" s="125"/>
      <c r="I462" s="476"/>
      <c r="J462" s="402"/>
      <c r="K462" s="477"/>
      <c r="L462" s="127"/>
    </row>
    <row r="463">
      <c r="A463" s="121"/>
      <c r="B463" s="122"/>
      <c r="D463" s="123"/>
      <c r="E463" s="123"/>
      <c r="F463" s="125"/>
      <c r="G463" s="125"/>
      <c r="I463" s="476"/>
      <c r="J463" s="402"/>
      <c r="K463" s="477"/>
      <c r="L463" s="127"/>
    </row>
    <row r="464">
      <c r="A464" s="121"/>
      <c r="B464" s="122"/>
      <c r="D464" s="123"/>
      <c r="E464" s="123"/>
      <c r="F464" s="125"/>
      <c r="G464" s="125"/>
      <c r="I464" s="476"/>
      <c r="J464" s="402"/>
      <c r="K464" s="477"/>
      <c r="L464" s="127"/>
    </row>
    <row r="465">
      <c r="A465" s="121"/>
      <c r="B465" s="122"/>
      <c r="D465" s="123"/>
      <c r="E465" s="123"/>
      <c r="F465" s="125"/>
      <c r="G465" s="125"/>
      <c r="I465" s="476"/>
      <c r="J465" s="402"/>
      <c r="K465" s="477"/>
      <c r="L465" s="127"/>
    </row>
    <row r="466">
      <c r="A466" s="121"/>
      <c r="B466" s="122"/>
      <c r="D466" s="123"/>
      <c r="E466" s="123"/>
      <c r="F466" s="125"/>
      <c r="G466" s="125"/>
      <c r="I466" s="476"/>
      <c r="J466" s="402"/>
      <c r="K466" s="477"/>
      <c r="L466" s="127"/>
    </row>
    <row r="467">
      <c r="A467" s="121"/>
      <c r="B467" s="122"/>
      <c r="D467" s="123"/>
      <c r="E467" s="123"/>
      <c r="F467" s="125"/>
      <c r="G467" s="125"/>
      <c r="I467" s="476"/>
      <c r="J467" s="402"/>
      <c r="K467" s="477"/>
      <c r="L467" s="127"/>
    </row>
    <row r="468">
      <c r="A468" s="121"/>
      <c r="B468" s="122"/>
      <c r="D468" s="123"/>
      <c r="E468" s="123"/>
      <c r="F468" s="125"/>
      <c r="G468" s="125"/>
      <c r="I468" s="476"/>
      <c r="J468" s="402"/>
      <c r="K468" s="477"/>
      <c r="L468" s="127"/>
    </row>
    <row r="469">
      <c r="A469" s="121"/>
      <c r="B469" s="122"/>
      <c r="D469" s="123"/>
      <c r="E469" s="123"/>
      <c r="F469" s="125"/>
      <c r="G469" s="125"/>
      <c r="I469" s="476"/>
      <c r="J469" s="402"/>
      <c r="K469" s="477"/>
      <c r="L469" s="127"/>
    </row>
    <row r="470">
      <c r="A470" s="121"/>
      <c r="B470" s="122"/>
      <c r="D470" s="123"/>
      <c r="E470" s="123"/>
      <c r="F470" s="125"/>
      <c r="G470" s="125"/>
      <c r="I470" s="476"/>
      <c r="J470" s="402"/>
      <c r="K470" s="477"/>
      <c r="L470" s="127"/>
    </row>
    <row r="471">
      <c r="A471" s="121"/>
      <c r="B471" s="122"/>
      <c r="D471" s="123"/>
      <c r="E471" s="123"/>
      <c r="F471" s="125"/>
      <c r="G471" s="125"/>
      <c r="I471" s="476"/>
      <c r="J471" s="402"/>
      <c r="K471" s="477"/>
      <c r="L471" s="127"/>
    </row>
    <row r="472">
      <c r="A472" s="121"/>
      <c r="B472" s="122"/>
      <c r="D472" s="123"/>
      <c r="E472" s="123"/>
      <c r="F472" s="125"/>
      <c r="G472" s="125"/>
      <c r="I472" s="476"/>
      <c r="J472" s="402"/>
      <c r="K472" s="477"/>
      <c r="L472" s="127"/>
    </row>
    <row r="473">
      <c r="A473" s="121"/>
      <c r="B473" s="122"/>
      <c r="D473" s="123"/>
      <c r="E473" s="123"/>
      <c r="F473" s="125"/>
      <c r="G473" s="125"/>
      <c r="I473" s="476"/>
      <c r="J473" s="402"/>
      <c r="K473" s="477"/>
      <c r="L473" s="127"/>
    </row>
    <row r="474">
      <c r="A474" s="121"/>
      <c r="B474" s="122"/>
      <c r="D474" s="123"/>
      <c r="E474" s="123"/>
      <c r="F474" s="125"/>
      <c r="G474" s="125"/>
      <c r="I474" s="476"/>
      <c r="J474" s="402"/>
      <c r="K474" s="477"/>
      <c r="L474" s="127"/>
    </row>
    <row r="475">
      <c r="A475" s="121"/>
      <c r="B475" s="122"/>
      <c r="D475" s="123"/>
      <c r="E475" s="123"/>
      <c r="F475" s="125"/>
      <c r="G475" s="125"/>
      <c r="I475" s="476"/>
      <c r="J475" s="402"/>
      <c r="K475" s="477"/>
      <c r="L475" s="127"/>
    </row>
    <row r="476">
      <c r="A476" s="121"/>
      <c r="B476" s="122"/>
      <c r="D476" s="123"/>
      <c r="E476" s="123"/>
      <c r="F476" s="125"/>
      <c r="G476" s="125"/>
      <c r="I476" s="476"/>
      <c r="J476" s="402"/>
      <c r="K476" s="477"/>
      <c r="L476" s="127"/>
    </row>
    <row r="477">
      <c r="A477" s="121"/>
      <c r="B477" s="122"/>
      <c r="D477" s="123"/>
      <c r="E477" s="123"/>
      <c r="F477" s="125"/>
      <c r="G477" s="125"/>
      <c r="I477" s="476"/>
      <c r="J477" s="402"/>
      <c r="K477" s="477"/>
      <c r="L477" s="127"/>
    </row>
    <row r="478">
      <c r="A478" s="121"/>
      <c r="B478" s="122"/>
      <c r="D478" s="123"/>
      <c r="E478" s="123"/>
      <c r="F478" s="125"/>
      <c r="G478" s="125"/>
      <c r="I478" s="476"/>
      <c r="J478" s="402"/>
      <c r="K478" s="477"/>
      <c r="L478" s="127"/>
    </row>
    <row r="479">
      <c r="A479" s="121"/>
      <c r="B479" s="122"/>
      <c r="D479" s="123"/>
      <c r="E479" s="123"/>
      <c r="F479" s="125"/>
      <c r="G479" s="125"/>
      <c r="I479" s="476"/>
      <c r="J479" s="402"/>
      <c r="K479" s="477"/>
      <c r="L479" s="127"/>
    </row>
    <row r="480">
      <c r="A480" s="121"/>
      <c r="B480" s="122"/>
      <c r="D480" s="123"/>
      <c r="E480" s="123"/>
      <c r="F480" s="125"/>
      <c r="G480" s="125"/>
      <c r="I480" s="476"/>
      <c r="J480" s="402"/>
      <c r="K480" s="477"/>
      <c r="L480" s="127"/>
    </row>
    <row r="481">
      <c r="A481" s="121"/>
      <c r="B481" s="122"/>
      <c r="D481" s="123"/>
      <c r="E481" s="123"/>
      <c r="F481" s="125"/>
      <c r="G481" s="125"/>
      <c r="I481" s="476"/>
      <c r="J481" s="402"/>
      <c r="K481" s="477"/>
      <c r="L481" s="127"/>
    </row>
    <row r="482">
      <c r="A482" s="121"/>
      <c r="B482" s="122"/>
      <c r="D482" s="123"/>
      <c r="E482" s="123"/>
      <c r="F482" s="125"/>
      <c r="G482" s="125"/>
      <c r="I482" s="476"/>
      <c r="J482" s="402"/>
      <c r="K482" s="477"/>
      <c r="L482" s="127"/>
    </row>
    <row r="483">
      <c r="A483" s="121"/>
      <c r="B483" s="122"/>
      <c r="D483" s="123"/>
      <c r="E483" s="123"/>
      <c r="F483" s="125"/>
      <c r="G483" s="125"/>
      <c r="I483" s="476"/>
      <c r="J483" s="402"/>
      <c r="K483" s="477"/>
      <c r="L483" s="127"/>
    </row>
    <row r="484">
      <c r="A484" s="121"/>
      <c r="B484" s="122"/>
      <c r="D484" s="123"/>
      <c r="E484" s="123"/>
      <c r="F484" s="125"/>
      <c r="G484" s="125"/>
      <c r="I484" s="476"/>
      <c r="J484" s="402"/>
      <c r="K484" s="477"/>
      <c r="L484" s="127"/>
    </row>
    <row r="485">
      <c r="A485" s="121"/>
      <c r="B485" s="122"/>
      <c r="D485" s="123"/>
      <c r="E485" s="123"/>
      <c r="F485" s="125"/>
      <c r="G485" s="125"/>
      <c r="I485" s="476"/>
      <c r="J485" s="402"/>
      <c r="K485" s="477"/>
      <c r="L485" s="127"/>
    </row>
    <row r="486">
      <c r="A486" s="121"/>
      <c r="B486" s="122"/>
      <c r="D486" s="123"/>
      <c r="E486" s="123"/>
      <c r="F486" s="125"/>
      <c r="G486" s="125"/>
      <c r="I486" s="476"/>
      <c r="J486" s="402"/>
      <c r="K486" s="477"/>
      <c r="L486" s="127"/>
    </row>
    <row r="487">
      <c r="A487" s="121"/>
      <c r="B487" s="122"/>
      <c r="D487" s="123"/>
      <c r="E487" s="123"/>
      <c r="F487" s="125"/>
      <c r="G487" s="125"/>
      <c r="I487" s="476"/>
      <c r="J487" s="402"/>
      <c r="K487" s="477"/>
      <c r="L487" s="127"/>
    </row>
    <row r="488">
      <c r="A488" s="121"/>
      <c r="B488" s="122"/>
      <c r="D488" s="123"/>
      <c r="E488" s="123"/>
      <c r="F488" s="125"/>
      <c r="G488" s="125"/>
      <c r="I488" s="476"/>
      <c r="J488" s="402"/>
      <c r="K488" s="477"/>
      <c r="L488" s="127"/>
    </row>
    <row r="489">
      <c r="A489" s="121"/>
      <c r="B489" s="122"/>
      <c r="D489" s="123"/>
      <c r="E489" s="123"/>
      <c r="F489" s="125"/>
      <c r="G489" s="125"/>
      <c r="I489" s="476"/>
      <c r="J489" s="402"/>
      <c r="K489" s="477"/>
      <c r="L489" s="127"/>
    </row>
    <row r="490">
      <c r="A490" s="121"/>
      <c r="B490" s="122"/>
      <c r="D490" s="123"/>
      <c r="E490" s="123"/>
      <c r="F490" s="125"/>
      <c r="G490" s="125"/>
      <c r="I490" s="476"/>
      <c r="J490" s="402"/>
      <c r="K490" s="477"/>
      <c r="L490" s="127"/>
    </row>
    <row r="491">
      <c r="A491" s="121"/>
      <c r="B491" s="122"/>
      <c r="D491" s="123"/>
      <c r="E491" s="123"/>
      <c r="F491" s="125"/>
      <c r="G491" s="125"/>
      <c r="I491" s="476"/>
      <c r="J491" s="402"/>
      <c r="K491" s="477"/>
      <c r="L491" s="127"/>
    </row>
    <row r="492">
      <c r="A492" s="121"/>
      <c r="B492" s="122"/>
      <c r="D492" s="123"/>
      <c r="E492" s="123"/>
      <c r="F492" s="125"/>
      <c r="G492" s="125"/>
      <c r="I492" s="476"/>
      <c r="J492" s="402"/>
      <c r="K492" s="477"/>
      <c r="L492" s="127"/>
    </row>
    <row r="493">
      <c r="A493" s="121"/>
      <c r="B493" s="122"/>
      <c r="D493" s="123"/>
      <c r="E493" s="123"/>
      <c r="F493" s="125"/>
      <c r="G493" s="125"/>
      <c r="I493" s="476"/>
      <c r="J493" s="402"/>
      <c r="K493" s="477"/>
      <c r="L493" s="127"/>
    </row>
    <row r="494">
      <c r="A494" s="121"/>
      <c r="B494" s="122"/>
      <c r="D494" s="123"/>
      <c r="E494" s="123"/>
      <c r="F494" s="125"/>
      <c r="G494" s="125"/>
      <c r="I494" s="476"/>
      <c r="J494" s="402"/>
      <c r="K494" s="477"/>
      <c r="L494" s="127"/>
    </row>
    <row r="495">
      <c r="A495" s="121"/>
      <c r="B495" s="122"/>
      <c r="D495" s="123"/>
      <c r="E495" s="123"/>
      <c r="F495" s="125"/>
      <c r="G495" s="125"/>
      <c r="I495" s="476"/>
      <c r="J495" s="402"/>
      <c r="K495" s="477"/>
      <c r="L495" s="127"/>
    </row>
    <row r="496">
      <c r="A496" s="121"/>
      <c r="B496" s="122"/>
      <c r="D496" s="123"/>
      <c r="E496" s="123"/>
      <c r="F496" s="125"/>
      <c r="G496" s="125"/>
      <c r="I496" s="476"/>
      <c r="J496" s="402"/>
      <c r="K496" s="477"/>
      <c r="L496" s="127"/>
    </row>
    <row r="497">
      <c r="A497" s="121"/>
      <c r="B497" s="122"/>
      <c r="D497" s="123"/>
      <c r="E497" s="123"/>
      <c r="F497" s="125"/>
      <c r="G497" s="125"/>
      <c r="I497" s="476"/>
      <c r="J497" s="402"/>
      <c r="K497" s="477"/>
      <c r="L497" s="127"/>
    </row>
    <row r="498">
      <c r="A498" s="121"/>
      <c r="B498" s="122"/>
      <c r="D498" s="123"/>
      <c r="E498" s="123"/>
      <c r="F498" s="125"/>
      <c r="G498" s="125"/>
      <c r="I498" s="476"/>
      <c r="J498" s="402"/>
      <c r="K498" s="477"/>
      <c r="L498" s="127"/>
    </row>
    <row r="499">
      <c r="A499" s="121"/>
      <c r="B499" s="122"/>
      <c r="D499" s="123"/>
      <c r="E499" s="123"/>
      <c r="F499" s="125"/>
      <c r="G499" s="125"/>
      <c r="I499" s="476"/>
      <c r="J499" s="402"/>
      <c r="K499" s="477"/>
      <c r="L499" s="127"/>
    </row>
    <row r="500">
      <c r="A500" s="121"/>
      <c r="B500" s="122"/>
      <c r="D500" s="123"/>
      <c r="E500" s="123"/>
      <c r="F500" s="125"/>
      <c r="G500" s="125"/>
      <c r="I500" s="476"/>
      <c r="J500" s="402"/>
      <c r="K500" s="477"/>
      <c r="L500" s="127"/>
    </row>
    <row r="501">
      <c r="A501" s="121"/>
      <c r="B501" s="122"/>
      <c r="D501" s="123"/>
      <c r="E501" s="123"/>
      <c r="F501" s="125"/>
      <c r="G501" s="125"/>
      <c r="I501" s="476"/>
      <c r="J501" s="402"/>
      <c r="K501" s="477"/>
      <c r="L501" s="127"/>
    </row>
    <row r="502">
      <c r="A502" s="121"/>
      <c r="B502" s="122"/>
      <c r="D502" s="123"/>
      <c r="E502" s="123"/>
      <c r="F502" s="125"/>
      <c r="G502" s="125"/>
      <c r="I502" s="476"/>
      <c r="J502" s="402"/>
      <c r="K502" s="477"/>
      <c r="L502" s="127"/>
    </row>
    <row r="503">
      <c r="A503" s="121"/>
      <c r="B503" s="122"/>
      <c r="D503" s="123"/>
      <c r="E503" s="123"/>
      <c r="F503" s="125"/>
      <c r="G503" s="125"/>
      <c r="I503" s="476"/>
      <c r="J503" s="402"/>
      <c r="K503" s="477"/>
      <c r="L503" s="127"/>
    </row>
    <row r="504">
      <c r="A504" s="121"/>
      <c r="B504" s="122"/>
      <c r="D504" s="123"/>
      <c r="E504" s="123"/>
      <c r="F504" s="125"/>
      <c r="G504" s="125"/>
      <c r="I504" s="476"/>
      <c r="J504" s="402"/>
      <c r="K504" s="477"/>
      <c r="L504" s="127"/>
    </row>
    <row r="505">
      <c r="A505" s="121"/>
      <c r="B505" s="122"/>
      <c r="D505" s="123"/>
      <c r="E505" s="123"/>
      <c r="F505" s="125"/>
      <c r="G505" s="125"/>
      <c r="I505" s="476"/>
      <c r="J505" s="402"/>
      <c r="K505" s="477"/>
      <c r="L505" s="127"/>
    </row>
    <row r="506">
      <c r="A506" s="121"/>
      <c r="B506" s="122"/>
      <c r="D506" s="123"/>
      <c r="E506" s="123"/>
      <c r="F506" s="125"/>
      <c r="G506" s="125"/>
      <c r="I506" s="476"/>
      <c r="J506" s="402"/>
      <c r="K506" s="477"/>
      <c r="L506" s="127"/>
    </row>
    <row r="507">
      <c r="A507" s="121"/>
      <c r="B507" s="122"/>
      <c r="D507" s="123"/>
      <c r="E507" s="123"/>
      <c r="F507" s="125"/>
      <c r="G507" s="125"/>
      <c r="I507" s="476"/>
      <c r="J507" s="402"/>
      <c r="K507" s="477"/>
      <c r="L507" s="127"/>
    </row>
    <row r="508">
      <c r="A508" s="121"/>
      <c r="B508" s="122"/>
      <c r="D508" s="123"/>
      <c r="E508" s="123"/>
      <c r="F508" s="125"/>
      <c r="G508" s="125"/>
      <c r="I508" s="476"/>
      <c r="J508" s="402"/>
      <c r="K508" s="477"/>
      <c r="L508" s="127"/>
    </row>
    <row r="509">
      <c r="A509" s="121"/>
      <c r="B509" s="122"/>
      <c r="D509" s="123"/>
      <c r="E509" s="123"/>
      <c r="F509" s="125"/>
      <c r="G509" s="125"/>
      <c r="I509" s="476"/>
      <c r="J509" s="402"/>
      <c r="K509" s="477"/>
      <c r="L509" s="127"/>
    </row>
    <row r="510">
      <c r="A510" s="121"/>
      <c r="B510" s="122"/>
      <c r="D510" s="123"/>
      <c r="E510" s="123"/>
      <c r="F510" s="125"/>
      <c r="G510" s="125"/>
      <c r="I510" s="476"/>
      <c r="J510" s="402"/>
      <c r="K510" s="477"/>
      <c r="L510" s="127"/>
    </row>
    <row r="511">
      <c r="A511" s="121"/>
      <c r="B511" s="122"/>
      <c r="D511" s="123"/>
      <c r="E511" s="123"/>
      <c r="F511" s="125"/>
      <c r="G511" s="125"/>
      <c r="I511" s="476"/>
      <c r="J511" s="402"/>
      <c r="K511" s="477"/>
      <c r="L511" s="127"/>
    </row>
    <row r="512">
      <c r="A512" s="121"/>
      <c r="B512" s="122"/>
      <c r="D512" s="123"/>
      <c r="E512" s="123"/>
      <c r="F512" s="125"/>
      <c r="G512" s="125"/>
      <c r="I512" s="476"/>
      <c r="J512" s="402"/>
      <c r="K512" s="477"/>
      <c r="L512" s="127"/>
    </row>
    <row r="513">
      <c r="A513" s="121"/>
      <c r="B513" s="122"/>
      <c r="D513" s="123"/>
      <c r="E513" s="123"/>
      <c r="F513" s="125"/>
      <c r="G513" s="125"/>
      <c r="I513" s="476"/>
      <c r="J513" s="402"/>
      <c r="K513" s="477"/>
      <c r="L513" s="127"/>
    </row>
    <row r="514">
      <c r="A514" s="121"/>
      <c r="B514" s="122"/>
      <c r="D514" s="123"/>
      <c r="E514" s="123"/>
      <c r="F514" s="125"/>
      <c r="G514" s="125"/>
      <c r="I514" s="476"/>
      <c r="J514" s="402"/>
      <c r="K514" s="477"/>
      <c r="L514" s="127"/>
    </row>
    <row r="515">
      <c r="A515" s="121"/>
      <c r="B515" s="122"/>
      <c r="D515" s="123"/>
      <c r="E515" s="123"/>
      <c r="F515" s="125"/>
      <c r="G515" s="125"/>
      <c r="I515" s="476"/>
      <c r="J515" s="402"/>
      <c r="K515" s="477"/>
      <c r="L515" s="127"/>
    </row>
    <row r="516">
      <c r="A516" s="121"/>
      <c r="B516" s="122"/>
      <c r="D516" s="123"/>
      <c r="E516" s="123"/>
      <c r="F516" s="125"/>
      <c r="G516" s="125"/>
      <c r="I516" s="476"/>
      <c r="J516" s="402"/>
      <c r="K516" s="477"/>
      <c r="L516" s="127"/>
    </row>
    <row r="517">
      <c r="A517" s="121"/>
      <c r="B517" s="122"/>
      <c r="D517" s="123"/>
      <c r="E517" s="123"/>
      <c r="F517" s="125"/>
      <c r="G517" s="125"/>
      <c r="I517" s="476"/>
      <c r="J517" s="402"/>
      <c r="K517" s="477"/>
      <c r="L517" s="127"/>
    </row>
    <row r="518">
      <c r="A518" s="121"/>
      <c r="B518" s="122"/>
      <c r="D518" s="123"/>
      <c r="E518" s="123"/>
      <c r="F518" s="125"/>
      <c r="G518" s="125"/>
      <c r="I518" s="476"/>
      <c r="J518" s="402"/>
      <c r="K518" s="477"/>
      <c r="L518" s="127"/>
    </row>
    <row r="519">
      <c r="A519" s="121"/>
      <c r="B519" s="122"/>
      <c r="D519" s="123"/>
      <c r="E519" s="123"/>
      <c r="F519" s="125"/>
      <c r="G519" s="125"/>
      <c r="I519" s="476"/>
      <c r="J519" s="402"/>
      <c r="K519" s="477"/>
      <c r="L519" s="127"/>
    </row>
    <row r="520">
      <c r="A520" s="121"/>
      <c r="B520" s="122"/>
      <c r="D520" s="123"/>
      <c r="E520" s="123"/>
      <c r="F520" s="125"/>
      <c r="G520" s="125"/>
      <c r="I520" s="476"/>
      <c r="J520" s="402"/>
      <c r="K520" s="477"/>
      <c r="L520" s="127"/>
    </row>
    <row r="521">
      <c r="A521" s="121"/>
      <c r="B521" s="122"/>
      <c r="D521" s="123"/>
      <c r="E521" s="123"/>
      <c r="F521" s="125"/>
      <c r="G521" s="125"/>
      <c r="I521" s="476"/>
      <c r="J521" s="402"/>
      <c r="K521" s="477"/>
      <c r="L521" s="127"/>
    </row>
    <row r="522">
      <c r="A522" s="121"/>
      <c r="B522" s="122"/>
      <c r="D522" s="123"/>
      <c r="E522" s="123"/>
      <c r="F522" s="125"/>
      <c r="G522" s="125"/>
      <c r="I522" s="476"/>
      <c r="J522" s="402"/>
      <c r="K522" s="477"/>
      <c r="L522" s="127"/>
    </row>
    <row r="523">
      <c r="A523" s="121"/>
      <c r="B523" s="122"/>
      <c r="D523" s="123"/>
      <c r="E523" s="123"/>
      <c r="F523" s="125"/>
      <c r="G523" s="125"/>
      <c r="I523" s="476"/>
      <c r="J523" s="402"/>
      <c r="K523" s="477"/>
      <c r="L523" s="127"/>
    </row>
    <row r="524">
      <c r="A524" s="121"/>
      <c r="B524" s="122"/>
      <c r="D524" s="123"/>
      <c r="E524" s="123"/>
      <c r="F524" s="125"/>
      <c r="G524" s="125"/>
      <c r="I524" s="476"/>
      <c r="J524" s="402"/>
      <c r="K524" s="477"/>
      <c r="L524" s="127"/>
    </row>
    <row r="525">
      <c r="A525" s="121"/>
      <c r="B525" s="122"/>
      <c r="D525" s="123"/>
      <c r="E525" s="123"/>
      <c r="F525" s="125"/>
      <c r="G525" s="125"/>
      <c r="I525" s="476"/>
      <c r="J525" s="402"/>
      <c r="K525" s="477"/>
      <c r="L525" s="127"/>
    </row>
    <row r="526">
      <c r="A526" s="121"/>
      <c r="B526" s="122"/>
      <c r="D526" s="123"/>
      <c r="E526" s="123"/>
      <c r="F526" s="125"/>
      <c r="G526" s="125"/>
      <c r="I526" s="476"/>
      <c r="J526" s="402"/>
      <c r="K526" s="477"/>
      <c r="L526" s="127"/>
    </row>
    <row r="527">
      <c r="A527" s="121"/>
      <c r="B527" s="122"/>
      <c r="D527" s="123"/>
      <c r="E527" s="123"/>
      <c r="F527" s="125"/>
      <c r="G527" s="125"/>
      <c r="I527" s="476"/>
      <c r="J527" s="402"/>
      <c r="K527" s="477"/>
      <c r="L527" s="127"/>
    </row>
    <row r="528">
      <c r="A528" s="121"/>
      <c r="B528" s="122"/>
      <c r="D528" s="123"/>
      <c r="E528" s="123"/>
      <c r="F528" s="125"/>
      <c r="G528" s="125"/>
      <c r="I528" s="476"/>
      <c r="J528" s="402"/>
      <c r="K528" s="477"/>
      <c r="L528" s="127"/>
    </row>
    <row r="529">
      <c r="A529" s="121"/>
      <c r="B529" s="122"/>
      <c r="D529" s="123"/>
      <c r="E529" s="123"/>
      <c r="F529" s="125"/>
      <c r="G529" s="125"/>
      <c r="I529" s="476"/>
      <c r="J529" s="402"/>
      <c r="K529" s="477"/>
      <c r="L529" s="127"/>
    </row>
    <row r="530">
      <c r="A530" s="121"/>
      <c r="B530" s="122"/>
      <c r="D530" s="123"/>
      <c r="E530" s="123"/>
      <c r="F530" s="125"/>
      <c r="G530" s="125"/>
      <c r="I530" s="476"/>
      <c r="J530" s="402"/>
      <c r="K530" s="477"/>
      <c r="L530" s="127"/>
    </row>
    <row r="531">
      <c r="A531" s="121"/>
      <c r="B531" s="122"/>
      <c r="D531" s="123"/>
      <c r="E531" s="123"/>
      <c r="F531" s="125"/>
      <c r="G531" s="125"/>
      <c r="I531" s="476"/>
      <c r="J531" s="402"/>
      <c r="K531" s="477"/>
      <c r="L531" s="127"/>
    </row>
    <row r="532">
      <c r="A532" s="121"/>
      <c r="B532" s="122"/>
      <c r="D532" s="123"/>
      <c r="E532" s="123"/>
      <c r="F532" s="125"/>
      <c r="G532" s="125"/>
      <c r="I532" s="476"/>
      <c r="J532" s="402"/>
      <c r="K532" s="477"/>
      <c r="L532" s="127"/>
    </row>
    <row r="533">
      <c r="A533" s="121"/>
      <c r="B533" s="122"/>
      <c r="D533" s="123"/>
      <c r="E533" s="123"/>
      <c r="F533" s="125"/>
      <c r="G533" s="125"/>
      <c r="I533" s="476"/>
      <c r="J533" s="402"/>
      <c r="K533" s="477"/>
      <c r="L533" s="127"/>
    </row>
    <row r="534">
      <c r="A534" s="121"/>
      <c r="B534" s="122"/>
      <c r="D534" s="123"/>
      <c r="E534" s="123"/>
      <c r="F534" s="125"/>
      <c r="G534" s="125"/>
      <c r="I534" s="476"/>
      <c r="J534" s="402"/>
      <c r="K534" s="477"/>
      <c r="L534" s="127"/>
    </row>
    <row r="535">
      <c r="A535" s="121"/>
      <c r="B535" s="122"/>
      <c r="D535" s="123"/>
      <c r="E535" s="123"/>
      <c r="F535" s="125"/>
      <c r="G535" s="125"/>
      <c r="I535" s="476"/>
      <c r="J535" s="402"/>
      <c r="K535" s="477"/>
      <c r="L535" s="127"/>
    </row>
    <row r="536">
      <c r="A536" s="121"/>
      <c r="B536" s="122"/>
      <c r="D536" s="123"/>
      <c r="E536" s="123"/>
      <c r="F536" s="125"/>
      <c r="G536" s="125"/>
      <c r="I536" s="476"/>
      <c r="J536" s="402"/>
      <c r="K536" s="477"/>
      <c r="L536" s="127"/>
    </row>
    <row r="537">
      <c r="A537" s="121"/>
      <c r="B537" s="122"/>
      <c r="D537" s="123"/>
      <c r="E537" s="123"/>
      <c r="F537" s="125"/>
      <c r="G537" s="125"/>
      <c r="I537" s="476"/>
      <c r="J537" s="402"/>
      <c r="K537" s="477"/>
      <c r="L537" s="127"/>
    </row>
    <row r="538">
      <c r="A538" s="121"/>
      <c r="B538" s="122"/>
      <c r="D538" s="123"/>
      <c r="E538" s="123"/>
      <c r="F538" s="125"/>
      <c r="G538" s="125"/>
      <c r="I538" s="476"/>
      <c r="J538" s="402"/>
      <c r="K538" s="477"/>
      <c r="L538" s="127"/>
    </row>
    <row r="539">
      <c r="A539" s="121"/>
      <c r="B539" s="122"/>
      <c r="D539" s="123"/>
      <c r="E539" s="123"/>
      <c r="F539" s="125"/>
      <c r="G539" s="125"/>
      <c r="I539" s="476"/>
      <c r="J539" s="402"/>
      <c r="K539" s="477"/>
      <c r="L539" s="127"/>
    </row>
    <row r="540">
      <c r="A540" s="121"/>
      <c r="B540" s="122"/>
      <c r="D540" s="123"/>
      <c r="E540" s="123"/>
      <c r="F540" s="125"/>
      <c r="G540" s="125"/>
      <c r="I540" s="476"/>
      <c r="J540" s="402"/>
      <c r="K540" s="477"/>
      <c r="L540" s="127"/>
    </row>
    <row r="541">
      <c r="A541" s="121"/>
      <c r="B541" s="122"/>
      <c r="D541" s="123"/>
      <c r="E541" s="123"/>
      <c r="F541" s="125"/>
      <c r="G541" s="125"/>
      <c r="I541" s="476"/>
      <c r="J541" s="402"/>
      <c r="K541" s="477"/>
      <c r="L541" s="127"/>
    </row>
    <row r="542">
      <c r="A542" s="121"/>
      <c r="B542" s="122"/>
      <c r="D542" s="123"/>
      <c r="E542" s="123"/>
      <c r="F542" s="125"/>
      <c r="G542" s="125"/>
      <c r="I542" s="476"/>
      <c r="J542" s="402"/>
      <c r="K542" s="477"/>
      <c r="L542" s="127"/>
    </row>
    <row r="543">
      <c r="A543" s="121"/>
      <c r="B543" s="122"/>
      <c r="D543" s="123"/>
      <c r="E543" s="123"/>
      <c r="F543" s="125"/>
      <c r="G543" s="125"/>
      <c r="I543" s="476"/>
      <c r="J543" s="402"/>
      <c r="K543" s="477"/>
      <c r="L543" s="127"/>
    </row>
    <row r="544">
      <c r="A544" s="121"/>
      <c r="B544" s="122"/>
      <c r="D544" s="123"/>
      <c r="E544" s="123"/>
      <c r="F544" s="125"/>
      <c r="G544" s="125"/>
      <c r="I544" s="476"/>
      <c r="J544" s="402"/>
      <c r="K544" s="477"/>
      <c r="L544" s="127"/>
    </row>
    <row r="545">
      <c r="A545" s="121"/>
      <c r="B545" s="122"/>
      <c r="D545" s="123"/>
      <c r="E545" s="123"/>
      <c r="F545" s="125"/>
      <c r="G545" s="125"/>
      <c r="I545" s="476"/>
      <c r="J545" s="402"/>
      <c r="K545" s="477"/>
      <c r="L545" s="127"/>
    </row>
    <row r="546">
      <c r="A546" s="121"/>
      <c r="B546" s="122"/>
      <c r="D546" s="123"/>
      <c r="E546" s="123"/>
      <c r="F546" s="125"/>
      <c r="G546" s="125"/>
      <c r="I546" s="476"/>
      <c r="J546" s="402"/>
      <c r="K546" s="477"/>
      <c r="L546" s="127"/>
    </row>
    <row r="547">
      <c r="A547" s="121"/>
      <c r="B547" s="122"/>
      <c r="D547" s="123"/>
      <c r="E547" s="123"/>
      <c r="F547" s="125"/>
      <c r="G547" s="125"/>
      <c r="I547" s="476"/>
      <c r="J547" s="402"/>
      <c r="K547" s="477"/>
      <c r="L547" s="127"/>
    </row>
    <row r="548">
      <c r="A548" s="121"/>
      <c r="B548" s="122"/>
      <c r="D548" s="123"/>
      <c r="E548" s="123"/>
      <c r="F548" s="125"/>
      <c r="G548" s="125"/>
      <c r="I548" s="476"/>
      <c r="J548" s="402"/>
      <c r="K548" s="477"/>
      <c r="L548" s="127"/>
    </row>
    <row r="549">
      <c r="A549" s="121"/>
      <c r="B549" s="122"/>
      <c r="D549" s="123"/>
      <c r="E549" s="123"/>
      <c r="F549" s="125"/>
      <c r="G549" s="125"/>
      <c r="I549" s="476"/>
      <c r="J549" s="402"/>
      <c r="K549" s="477"/>
      <c r="L549" s="127"/>
    </row>
    <row r="550">
      <c r="A550" s="121"/>
      <c r="B550" s="122"/>
      <c r="D550" s="123"/>
      <c r="E550" s="123"/>
      <c r="F550" s="125"/>
      <c r="G550" s="125"/>
      <c r="I550" s="476"/>
      <c r="J550" s="402"/>
      <c r="K550" s="477"/>
      <c r="L550" s="127"/>
    </row>
    <row r="551">
      <c r="A551" s="121"/>
      <c r="B551" s="122"/>
      <c r="D551" s="123"/>
      <c r="E551" s="123"/>
      <c r="F551" s="125"/>
      <c r="G551" s="125"/>
      <c r="I551" s="476"/>
      <c r="J551" s="402"/>
      <c r="K551" s="477"/>
      <c r="L551" s="127"/>
    </row>
    <row r="552">
      <c r="A552" s="121"/>
      <c r="B552" s="122"/>
      <c r="D552" s="123"/>
      <c r="E552" s="123"/>
      <c r="F552" s="125"/>
      <c r="G552" s="125"/>
      <c r="I552" s="476"/>
      <c r="J552" s="402"/>
      <c r="K552" s="477"/>
      <c r="L552" s="127"/>
    </row>
    <row r="553">
      <c r="A553" s="121"/>
      <c r="B553" s="122"/>
      <c r="D553" s="123"/>
      <c r="E553" s="123"/>
      <c r="F553" s="125"/>
      <c r="G553" s="125"/>
      <c r="I553" s="476"/>
      <c r="J553" s="402"/>
      <c r="K553" s="477"/>
      <c r="L553" s="127"/>
    </row>
    <row r="554">
      <c r="A554" s="121"/>
      <c r="B554" s="122"/>
      <c r="D554" s="123"/>
      <c r="E554" s="123"/>
      <c r="F554" s="125"/>
      <c r="G554" s="125"/>
      <c r="I554" s="476"/>
      <c r="J554" s="402"/>
      <c r="K554" s="477"/>
      <c r="L554" s="127"/>
    </row>
    <row r="555">
      <c r="A555" s="121"/>
      <c r="B555" s="122"/>
      <c r="D555" s="123"/>
      <c r="E555" s="123"/>
      <c r="F555" s="125"/>
      <c r="G555" s="125"/>
      <c r="I555" s="476"/>
      <c r="J555" s="402"/>
      <c r="K555" s="477"/>
      <c r="L555" s="127"/>
    </row>
    <row r="556">
      <c r="A556" s="121"/>
      <c r="B556" s="122"/>
      <c r="D556" s="123"/>
      <c r="E556" s="123"/>
      <c r="F556" s="125"/>
      <c r="G556" s="125"/>
      <c r="I556" s="476"/>
      <c r="J556" s="402"/>
      <c r="K556" s="477"/>
      <c r="L556" s="127"/>
    </row>
    <row r="557">
      <c r="A557" s="121"/>
      <c r="B557" s="122"/>
      <c r="D557" s="123"/>
      <c r="E557" s="123"/>
      <c r="F557" s="125"/>
      <c r="G557" s="125"/>
      <c r="I557" s="476"/>
      <c r="J557" s="402"/>
      <c r="K557" s="477"/>
      <c r="L557" s="127"/>
    </row>
    <row r="558">
      <c r="A558" s="121"/>
      <c r="B558" s="122"/>
      <c r="D558" s="123"/>
      <c r="E558" s="123"/>
      <c r="F558" s="125"/>
      <c r="G558" s="125"/>
      <c r="I558" s="476"/>
      <c r="J558" s="402"/>
      <c r="K558" s="477"/>
      <c r="L558" s="127"/>
    </row>
    <row r="559">
      <c r="A559" s="121"/>
      <c r="B559" s="122"/>
      <c r="D559" s="123"/>
      <c r="E559" s="123"/>
      <c r="F559" s="125"/>
      <c r="G559" s="125"/>
      <c r="I559" s="476"/>
      <c r="J559" s="402"/>
      <c r="K559" s="477"/>
      <c r="L559" s="127"/>
    </row>
    <row r="560">
      <c r="A560" s="121"/>
      <c r="B560" s="122"/>
      <c r="D560" s="123"/>
      <c r="E560" s="123"/>
      <c r="F560" s="125"/>
      <c r="G560" s="125"/>
      <c r="I560" s="476"/>
      <c r="J560" s="402"/>
      <c r="K560" s="477"/>
      <c r="L560" s="127"/>
    </row>
    <row r="561">
      <c r="A561" s="121"/>
      <c r="B561" s="122"/>
      <c r="D561" s="123"/>
      <c r="E561" s="123"/>
      <c r="F561" s="125"/>
      <c r="G561" s="125"/>
      <c r="I561" s="476"/>
      <c r="J561" s="402"/>
      <c r="K561" s="477"/>
      <c r="L561" s="127"/>
    </row>
    <row r="562">
      <c r="A562" s="121"/>
      <c r="B562" s="122"/>
      <c r="D562" s="123"/>
      <c r="E562" s="123"/>
      <c r="F562" s="125"/>
      <c r="G562" s="125"/>
      <c r="I562" s="476"/>
      <c r="J562" s="402"/>
      <c r="K562" s="477"/>
      <c r="L562" s="127"/>
    </row>
    <row r="563">
      <c r="A563" s="121"/>
      <c r="B563" s="122"/>
      <c r="D563" s="123"/>
      <c r="E563" s="123"/>
      <c r="F563" s="125"/>
      <c r="G563" s="125"/>
      <c r="I563" s="476"/>
      <c r="J563" s="402"/>
      <c r="K563" s="477"/>
      <c r="L563" s="127"/>
    </row>
    <row r="564">
      <c r="A564" s="121"/>
      <c r="B564" s="122"/>
      <c r="D564" s="123"/>
      <c r="E564" s="123"/>
      <c r="F564" s="125"/>
      <c r="G564" s="125"/>
      <c r="I564" s="476"/>
      <c r="J564" s="402"/>
      <c r="K564" s="477"/>
      <c r="L564" s="127"/>
    </row>
    <row r="565">
      <c r="A565" s="121"/>
      <c r="B565" s="122"/>
      <c r="D565" s="123"/>
      <c r="E565" s="123"/>
      <c r="F565" s="125"/>
      <c r="G565" s="125"/>
      <c r="I565" s="476"/>
      <c r="J565" s="402"/>
      <c r="K565" s="477"/>
      <c r="L565" s="127"/>
    </row>
    <row r="566">
      <c r="A566" s="121"/>
      <c r="B566" s="122"/>
      <c r="D566" s="123"/>
      <c r="E566" s="123"/>
      <c r="F566" s="125"/>
      <c r="G566" s="125"/>
      <c r="I566" s="476"/>
      <c r="J566" s="402"/>
      <c r="K566" s="477"/>
      <c r="L566" s="127"/>
    </row>
    <row r="567">
      <c r="A567" s="121"/>
      <c r="B567" s="122"/>
      <c r="D567" s="123"/>
      <c r="E567" s="123"/>
      <c r="F567" s="125"/>
      <c r="G567" s="125"/>
      <c r="I567" s="476"/>
      <c r="J567" s="402"/>
      <c r="K567" s="477"/>
      <c r="L567" s="127"/>
    </row>
    <row r="568">
      <c r="A568" s="121"/>
      <c r="B568" s="122"/>
      <c r="D568" s="123"/>
      <c r="E568" s="123"/>
      <c r="F568" s="125"/>
      <c r="G568" s="125"/>
      <c r="I568" s="476"/>
      <c r="J568" s="402"/>
      <c r="K568" s="477"/>
      <c r="L568" s="127"/>
    </row>
    <row r="569">
      <c r="A569" s="121"/>
      <c r="B569" s="122"/>
      <c r="D569" s="123"/>
      <c r="E569" s="123"/>
      <c r="F569" s="125"/>
      <c r="G569" s="125"/>
      <c r="I569" s="476"/>
      <c r="J569" s="402"/>
      <c r="K569" s="477"/>
      <c r="L569" s="127"/>
    </row>
    <row r="570">
      <c r="A570" s="121"/>
      <c r="B570" s="122"/>
      <c r="D570" s="123"/>
      <c r="E570" s="123"/>
      <c r="F570" s="125"/>
      <c r="G570" s="125"/>
      <c r="I570" s="476"/>
      <c r="J570" s="402"/>
      <c r="K570" s="477"/>
      <c r="L570" s="127"/>
    </row>
    <row r="571">
      <c r="A571" s="121"/>
      <c r="B571" s="122"/>
      <c r="D571" s="123"/>
      <c r="E571" s="123"/>
      <c r="F571" s="125"/>
      <c r="G571" s="125"/>
      <c r="I571" s="476"/>
      <c r="J571" s="402"/>
      <c r="K571" s="477"/>
      <c r="L571" s="127"/>
    </row>
    <row r="572">
      <c r="A572" s="121"/>
      <c r="B572" s="122"/>
      <c r="D572" s="123"/>
      <c r="E572" s="123"/>
      <c r="F572" s="125"/>
      <c r="G572" s="125"/>
      <c r="I572" s="476"/>
      <c r="J572" s="402"/>
      <c r="K572" s="477"/>
      <c r="L572" s="127"/>
    </row>
    <row r="573">
      <c r="A573" s="121"/>
      <c r="B573" s="122"/>
      <c r="D573" s="123"/>
      <c r="E573" s="123"/>
      <c r="F573" s="125"/>
      <c r="G573" s="125"/>
      <c r="I573" s="476"/>
      <c r="J573" s="402"/>
      <c r="K573" s="477"/>
      <c r="L573" s="127"/>
    </row>
    <row r="574">
      <c r="A574" s="121"/>
      <c r="B574" s="122"/>
      <c r="D574" s="123"/>
      <c r="E574" s="123"/>
      <c r="F574" s="125"/>
      <c r="G574" s="125"/>
      <c r="I574" s="476"/>
      <c r="J574" s="402"/>
      <c r="K574" s="477"/>
      <c r="L574" s="127"/>
    </row>
    <row r="575">
      <c r="A575" s="121"/>
      <c r="B575" s="122"/>
      <c r="D575" s="123"/>
      <c r="E575" s="123"/>
      <c r="F575" s="125"/>
      <c r="G575" s="125"/>
      <c r="I575" s="476"/>
      <c r="J575" s="402"/>
      <c r="K575" s="477"/>
      <c r="L575" s="127"/>
    </row>
    <row r="576">
      <c r="A576" s="121"/>
      <c r="B576" s="122"/>
      <c r="D576" s="123"/>
      <c r="E576" s="123"/>
      <c r="F576" s="125"/>
      <c r="G576" s="125"/>
      <c r="I576" s="476"/>
      <c r="J576" s="402"/>
      <c r="K576" s="477"/>
      <c r="L576" s="127"/>
    </row>
    <row r="577">
      <c r="A577" s="121"/>
      <c r="B577" s="122"/>
      <c r="D577" s="123"/>
      <c r="E577" s="123"/>
      <c r="F577" s="125"/>
      <c r="G577" s="125"/>
      <c r="I577" s="476"/>
      <c r="J577" s="402"/>
      <c r="K577" s="477"/>
      <c r="L577" s="127"/>
    </row>
    <row r="578">
      <c r="A578" s="121"/>
      <c r="B578" s="122"/>
      <c r="D578" s="123"/>
      <c r="E578" s="123"/>
      <c r="F578" s="125"/>
      <c r="G578" s="125"/>
      <c r="I578" s="476"/>
      <c r="J578" s="402"/>
      <c r="K578" s="477"/>
      <c r="L578" s="127"/>
    </row>
    <row r="579">
      <c r="A579" s="121"/>
      <c r="B579" s="122"/>
      <c r="D579" s="123"/>
      <c r="E579" s="123"/>
      <c r="F579" s="125"/>
      <c r="G579" s="125"/>
      <c r="I579" s="476"/>
      <c r="J579" s="402"/>
      <c r="K579" s="477"/>
      <c r="L579" s="127"/>
    </row>
    <row r="580">
      <c r="A580" s="121"/>
      <c r="B580" s="122"/>
      <c r="D580" s="123"/>
      <c r="E580" s="123"/>
      <c r="F580" s="125"/>
      <c r="G580" s="125"/>
      <c r="I580" s="476"/>
      <c r="J580" s="402"/>
      <c r="K580" s="477"/>
      <c r="L580" s="127"/>
    </row>
    <row r="581">
      <c r="A581" s="121"/>
      <c r="B581" s="122"/>
      <c r="D581" s="123"/>
      <c r="E581" s="123"/>
      <c r="F581" s="125"/>
      <c r="G581" s="125"/>
      <c r="I581" s="476"/>
      <c r="J581" s="402"/>
      <c r="K581" s="477"/>
      <c r="L581" s="127"/>
    </row>
    <row r="582">
      <c r="A582" s="121"/>
      <c r="B582" s="122"/>
      <c r="D582" s="123"/>
      <c r="E582" s="123"/>
      <c r="F582" s="125"/>
      <c r="G582" s="125"/>
      <c r="I582" s="476"/>
      <c r="J582" s="402"/>
      <c r="K582" s="477"/>
      <c r="L582" s="127"/>
    </row>
    <row r="583">
      <c r="A583" s="121"/>
      <c r="B583" s="122"/>
      <c r="D583" s="123"/>
      <c r="E583" s="123"/>
      <c r="F583" s="125"/>
      <c r="G583" s="125"/>
      <c r="I583" s="476"/>
      <c r="J583" s="402"/>
      <c r="K583" s="477"/>
      <c r="L583" s="127"/>
    </row>
    <row r="584">
      <c r="A584" s="121"/>
      <c r="B584" s="122"/>
      <c r="D584" s="123"/>
      <c r="E584" s="123"/>
      <c r="F584" s="125"/>
      <c r="G584" s="125"/>
      <c r="I584" s="476"/>
      <c r="J584" s="402"/>
      <c r="K584" s="477"/>
      <c r="L584" s="127"/>
    </row>
    <row r="585">
      <c r="A585" s="121"/>
      <c r="B585" s="122"/>
      <c r="D585" s="123"/>
      <c r="E585" s="123"/>
      <c r="F585" s="125"/>
      <c r="G585" s="125"/>
      <c r="I585" s="476"/>
      <c r="J585" s="402"/>
      <c r="K585" s="477"/>
      <c r="L585" s="127"/>
    </row>
    <row r="586">
      <c r="A586" s="121"/>
      <c r="B586" s="122"/>
      <c r="D586" s="123"/>
      <c r="E586" s="123"/>
      <c r="F586" s="125"/>
      <c r="G586" s="125"/>
      <c r="I586" s="476"/>
      <c r="J586" s="402"/>
      <c r="K586" s="477"/>
      <c r="L586" s="127"/>
    </row>
    <row r="587">
      <c r="A587" s="121"/>
      <c r="B587" s="122"/>
      <c r="D587" s="123"/>
      <c r="E587" s="123"/>
      <c r="F587" s="125"/>
      <c r="G587" s="125"/>
      <c r="I587" s="476"/>
      <c r="J587" s="402"/>
      <c r="K587" s="477"/>
      <c r="L587" s="127"/>
    </row>
    <row r="588">
      <c r="A588" s="121"/>
      <c r="B588" s="122"/>
      <c r="D588" s="123"/>
      <c r="E588" s="123"/>
      <c r="F588" s="125"/>
      <c r="G588" s="125"/>
      <c r="I588" s="476"/>
      <c r="J588" s="402"/>
      <c r="K588" s="477"/>
      <c r="L588" s="127"/>
    </row>
    <row r="589">
      <c r="A589" s="121"/>
      <c r="B589" s="122"/>
      <c r="D589" s="123"/>
      <c r="E589" s="123"/>
      <c r="F589" s="125"/>
      <c r="G589" s="125"/>
      <c r="I589" s="476"/>
      <c r="J589" s="402"/>
      <c r="K589" s="477"/>
      <c r="L589" s="127"/>
    </row>
    <row r="590">
      <c r="A590" s="121"/>
      <c r="B590" s="122"/>
      <c r="D590" s="123"/>
      <c r="E590" s="123"/>
      <c r="F590" s="125"/>
      <c r="G590" s="125"/>
      <c r="I590" s="476"/>
      <c r="J590" s="402"/>
      <c r="K590" s="477"/>
      <c r="L590" s="127"/>
    </row>
    <row r="591">
      <c r="A591" s="121"/>
      <c r="B591" s="122"/>
      <c r="D591" s="123"/>
      <c r="E591" s="123"/>
      <c r="F591" s="125"/>
      <c r="G591" s="125"/>
      <c r="I591" s="476"/>
      <c r="J591" s="402"/>
      <c r="K591" s="477"/>
      <c r="L591" s="127"/>
    </row>
    <row r="592">
      <c r="A592" s="121"/>
      <c r="B592" s="122"/>
      <c r="D592" s="123"/>
      <c r="E592" s="123"/>
      <c r="F592" s="125"/>
      <c r="G592" s="125"/>
      <c r="I592" s="476"/>
      <c r="J592" s="402"/>
      <c r="K592" s="477"/>
      <c r="L592" s="127"/>
    </row>
    <row r="593">
      <c r="A593" s="121"/>
      <c r="B593" s="122"/>
      <c r="D593" s="123"/>
      <c r="E593" s="123"/>
      <c r="F593" s="125"/>
      <c r="G593" s="125"/>
      <c r="I593" s="476"/>
      <c r="J593" s="402"/>
      <c r="K593" s="477"/>
      <c r="L593" s="127"/>
    </row>
    <row r="594">
      <c r="A594" s="121"/>
      <c r="B594" s="122"/>
      <c r="D594" s="123"/>
      <c r="E594" s="123"/>
      <c r="F594" s="125"/>
      <c r="G594" s="125"/>
      <c r="I594" s="476"/>
      <c r="J594" s="402"/>
      <c r="K594" s="477"/>
      <c r="L594" s="127"/>
    </row>
    <row r="595">
      <c r="A595" s="121"/>
      <c r="B595" s="122"/>
      <c r="D595" s="123"/>
      <c r="E595" s="123"/>
      <c r="F595" s="125"/>
      <c r="G595" s="125"/>
      <c r="I595" s="476"/>
      <c r="J595" s="402"/>
      <c r="K595" s="477"/>
      <c r="L595" s="127"/>
    </row>
    <row r="596">
      <c r="A596" s="121"/>
      <c r="B596" s="122"/>
      <c r="D596" s="123"/>
      <c r="E596" s="123"/>
      <c r="F596" s="125"/>
      <c r="G596" s="125"/>
      <c r="I596" s="476"/>
      <c r="J596" s="402"/>
      <c r="K596" s="477"/>
      <c r="L596" s="127"/>
    </row>
    <row r="597">
      <c r="A597" s="121"/>
      <c r="B597" s="122"/>
      <c r="D597" s="123"/>
      <c r="E597" s="123"/>
      <c r="F597" s="125"/>
      <c r="G597" s="125"/>
      <c r="I597" s="476"/>
      <c r="J597" s="402"/>
      <c r="K597" s="477"/>
      <c r="L597" s="127"/>
    </row>
    <row r="598">
      <c r="A598" s="121"/>
      <c r="B598" s="122"/>
      <c r="D598" s="123"/>
      <c r="E598" s="123"/>
      <c r="F598" s="125"/>
      <c r="G598" s="125"/>
      <c r="I598" s="476"/>
      <c r="J598" s="402"/>
      <c r="K598" s="477"/>
      <c r="L598" s="127"/>
    </row>
    <row r="599">
      <c r="A599" s="121"/>
      <c r="B599" s="122"/>
      <c r="D599" s="123"/>
      <c r="E599" s="123"/>
      <c r="F599" s="125"/>
      <c r="G599" s="125"/>
      <c r="I599" s="476"/>
      <c r="J599" s="402"/>
      <c r="K599" s="477"/>
      <c r="L599" s="127"/>
    </row>
    <row r="600">
      <c r="A600" s="121"/>
      <c r="B600" s="122"/>
      <c r="D600" s="123"/>
      <c r="E600" s="123"/>
      <c r="F600" s="125"/>
      <c r="G600" s="125"/>
      <c r="I600" s="476"/>
      <c r="J600" s="402"/>
      <c r="K600" s="477"/>
      <c r="L600" s="127"/>
    </row>
    <row r="601">
      <c r="A601" s="121"/>
      <c r="B601" s="122"/>
      <c r="D601" s="123"/>
      <c r="E601" s="123"/>
      <c r="F601" s="125"/>
      <c r="G601" s="125"/>
      <c r="I601" s="476"/>
      <c r="J601" s="402"/>
      <c r="K601" s="477"/>
      <c r="L601" s="127"/>
    </row>
    <row r="602">
      <c r="A602" s="121"/>
      <c r="B602" s="122"/>
      <c r="D602" s="123"/>
      <c r="E602" s="123"/>
      <c r="F602" s="125"/>
      <c r="G602" s="125"/>
      <c r="I602" s="476"/>
      <c r="J602" s="402"/>
      <c r="K602" s="477"/>
      <c r="L602" s="127"/>
    </row>
    <row r="603">
      <c r="A603" s="121"/>
      <c r="B603" s="122"/>
      <c r="D603" s="123"/>
      <c r="E603" s="123"/>
      <c r="F603" s="125"/>
      <c r="G603" s="125"/>
      <c r="I603" s="476"/>
      <c r="J603" s="402"/>
      <c r="K603" s="477"/>
      <c r="L603" s="127"/>
    </row>
    <row r="604">
      <c r="A604" s="121"/>
      <c r="B604" s="122"/>
      <c r="D604" s="123"/>
      <c r="E604" s="123"/>
      <c r="F604" s="125"/>
      <c r="G604" s="125"/>
      <c r="I604" s="476"/>
      <c r="J604" s="402"/>
      <c r="K604" s="477"/>
      <c r="L604" s="127"/>
    </row>
    <row r="605">
      <c r="A605" s="121"/>
      <c r="B605" s="122"/>
      <c r="D605" s="123"/>
      <c r="E605" s="123"/>
      <c r="F605" s="125"/>
      <c r="G605" s="125"/>
      <c r="I605" s="476"/>
      <c r="J605" s="402"/>
      <c r="K605" s="477"/>
      <c r="L605" s="127"/>
    </row>
    <row r="606">
      <c r="A606" s="121"/>
      <c r="B606" s="122"/>
      <c r="D606" s="123"/>
      <c r="E606" s="123"/>
      <c r="F606" s="125"/>
      <c r="G606" s="125"/>
      <c r="I606" s="476"/>
      <c r="J606" s="402"/>
      <c r="K606" s="477"/>
      <c r="L606" s="127"/>
    </row>
    <row r="607">
      <c r="A607" s="121"/>
      <c r="B607" s="122"/>
      <c r="D607" s="123"/>
      <c r="E607" s="123"/>
      <c r="F607" s="125"/>
      <c r="G607" s="125"/>
      <c r="I607" s="476"/>
      <c r="J607" s="402"/>
      <c r="K607" s="477"/>
      <c r="L607" s="127"/>
    </row>
    <row r="608">
      <c r="A608" s="121"/>
      <c r="B608" s="122"/>
      <c r="D608" s="123"/>
      <c r="E608" s="123"/>
      <c r="F608" s="125"/>
      <c r="G608" s="125"/>
      <c r="I608" s="476"/>
      <c r="J608" s="402"/>
      <c r="K608" s="477"/>
      <c r="L608" s="127"/>
    </row>
    <row r="609">
      <c r="A609" s="121"/>
      <c r="B609" s="122"/>
      <c r="D609" s="123"/>
      <c r="E609" s="123"/>
      <c r="F609" s="125"/>
      <c r="G609" s="125"/>
      <c r="I609" s="476"/>
      <c r="J609" s="402"/>
      <c r="K609" s="477"/>
      <c r="L609" s="127"/>
    </row>
    <row r="610">
      <c r="A610" s="121"/>
      <c r="B610" s="122"/>
      <c r="D610" s="123"/>
      <c r="E610" s="123"/>
      <c r="F610" s="125"/>
      <c r="G610" s="125"/>
      <c r="I610" s="476"/>
      <c r="J610" s="402"/>
      <c r="K610" s="477"/>
      <c r="L610" s="127"/>
    </row>
    <row r="611">
      <c r="A611" s="121"/>
      <c r="B611" s="122"/>
      <c r="D611" s="123"/>
      <c r="E611" s="123"/>
      <c r="F611" s="125"/>
      <c r="G611" s="125"/>
      <c r="I611" s="476"/>
      <c r="J611" s="402"/>
      <c r="K611" s="477"/>
      <c r="L611" s="127"/>
    </row>
    <row r="612">
      <c r="A612" s="121"/>
      <c r="B612" s="122"/>
      <c r="D612" s="123"/>
      <c r="E612" s="123"/>
      <c r="F612" s="125"/>
      <c r="G612" s="125"/>
      <c r="I612" s="476"/>
      <c r="J612" s="402"/>
      <c r="K612" s="477"/>
      <c r="L612" s="127"/>
    </row>
    <row r="613">
      <c r="A613" s="121"/>
      <c r="B613" s="122"/>
      <c r="D613" s="123"/>
      <c r="E613" s="123"/>
      <c r="F613" s="125"/>
      <c r="G613" s="125"/>
      <c r="I613" s="476"/>
      <c r="J613" s="402"/>
      <c r="K613" s="477"/>
      <c r="L613" s="127"/>
    </row>
    <row r="614">
      <c r="A614" s="121"/>
      <c r="B614" s="122"/>
      <c r="D614" s="123"/>
      <c r="E614" s="123"/>
      <c r="F614" s="125"/>
      <c r="G614" s="125"/>
      <c r="I614" s="476"/>
      <c r="J614" s="402"/>
      <c r="K614" s="477"/>
      <c r="L614" s="127"/>
    </row>
    <row r="615">
      <c r="A615" s="121"/>
      <c r="B615" s="122"/>
      <c r="D615" s="123"/>
      <c r="E615" s="123"/>
      <c r="F615" s="125"/>
      <c r="G615" s="125"/>
      <c r="I615" s="476"/>
      <c r="J615" s="402"/>
      <c r="K615" s="477"/>
      <c r="L615" s="127"/>
    </row>
    <row r="616">
      <c r="A616" s="121"/>
      <c r="B616" s="122"/>
      <c r="D616" s="123"/>
      <c r="E616" s="123"/>
      <c r="F616" s="125"/>
      <c r="G616" s="125"/>
      <c r="I616" s="476"/>
      <c r="J616" s="402"/>
      <c r="K616" s="477"/>
      <c r="L616" s="127"/>
    </row>
    <row r="617">
      <c r="A617" s="121"/>
      <c r="B617" s="122"/>
      <c r="D617" s="123"/>
      <c r="E617" s="123"/>
      <c r="F617" s="125"/>
      <c r="G617" s="125"/>
      <c r="I617" s="476"/>
      <c r="J617" s="402"/>
      <c r="K617" s="477"/>
      <c r="L617" s="127"/>
    </row>
    <row r="618">
      <c r="A618" s="121"/>
      <c r="B618" s="122"/>
      <c r="D618" s="123"/>
      <c r="E618" s="123"/>
      <c r="F618" s="125"/>
      <c r="G618" s="125"/>
      <c r="I618" s="476"/>
      <c r="J618" s="402"/>
      <c r="K618" s="477"/>
      <c r="L618" s="127"/>
    </row>
    <row r="619">
      <c r="A619" s="121"/>
      <c r="B619" s="122"/>
      <c r="D619" s="123"/>
      <c r="E619" s="123"/>
      <c r="F619" s="125"/>
      <c r="G619" s="125"/>
      <c r="I619" s="476"/>
      <c r="J619" s="402"/>
      <c r="K619" s="477"/>
      <c r="L619" s="127"/>
    </row>
    <row r="620">
      <c r="A620" s="121"/>
      <c r="B620" s="122"/>
      <c r="D620" s="123"/>
      <c r="E620" s="123"/>
      <c r="F620" s="125"/>
      <c r="G620" s="125"/>
      <c r="I620" s="476"/>
      <c r="J620" s="402"/>
      <c r="K620" s="477"/>
      <c r="L620" s="127"/>
    </row>
    <row r="621">
      <c r="A621" s="121"/>
      <c r="B621" s="122"/>
      <c r="D621" s="123"/>
      <c r="E621" s="123"/>
      <c r="F621" s="125"/>
      <c r="G621" s="125"/>
      <c r="I621" s="476"/>
      <c r="J621" s="402"/>
      <c r="K621" s="477"/>
      <c r="L621" s="127"/>
    </row>
    <row r="622">
      <c r="A622" s="121"/>
      <c r="B622" s="122"/>
      <c r="D622" s="123"/>
      <c r="E622" s="123"/>
      <c r="F622" s="125"/>
      <c r="G622" s="125"/>
      <c r="I622" s="476"/>
      <c r="J622" s="402"/>
      <c r="K622" s="477"/>
      <c r="L622" s="127"/>
    </row>
    <row r="623">
      <c r="A623" s="121"/>
      <c r="B623" s="122"/>
      <c r="D623" s="123"/>
      <c r="E623" s="123"/>
      <c r="F623" s="125"/>
      <c r="G623" s="125"/>
      <c r="I623" s="476"/>
      <c r="J623" s="402"/>
      <c r="K623" s="477"/>
      <c r="L623" s="127"/>
    </row>
    <row r="624">
      <c r="A624" s="121"/>
      <c r="B624" s="122"/>
      <c r="D624" s="123"/>
      <c r="E624" s="123"/>
      <c r="F624" s="125"/>
      <c r="G624" s="125"/>
      <c r="I624" s="476"/>
      <c r="J624" s="402"/>
      <c r="K624" s="477"/>
      <c r="L624" s="127"/>
    </row>
    <row r="625">
      <c r="A625" s="121"/>
      <c r="B625" s="122"/>
      <c r="D625" s="123"/>
      <c r="E625" s="123"/>
      <c r="F625" s="125"/>
      <c r="G625" s="125"/>
      <c r="I625" s="476"/>
      <c r="J625" s="402"/>
      <c r="K625" s="477"/>
      <c r="L625" s="127"/>
    </row>
    <row r="626">
      <c r="A626" s="121"/>
      <c r="B626" s="122"/>
      <c r="D626" s="123"/>
      <c r="E626" s="123"/>
      <c r="F626" s="125"/>
      <c r="G626" s="125"/>
      <c r="I626" s="476"/>
      <c r="J626" s="402"/>
      <c r="K626" s="477"/>
      <c r="L626" s="127"/>
    </row>
    <row r="627">
      <c r="A627" s="121"/>
      <c r="B627" s="122"/>
      <c r="D627" s="123"/>
      <c r="E627" s="123"/>
      <c r="F627" s="125"/>
      <c r="G627" s="125"/>
      <c r="I627" s="476"/>
      <c r="J627" s="402"/>
      <c r="K627" s="477"/>
      <c r="L627" s="127"/>
    </row>
    <row r="628">
      <c r="A628" s="121"/>
      <c r="B628" s="122"/>
      <c r="D628" s="123"/>
      <c r="E628" s="123"/>
      <c r="F628" s="125"/>
      <c r="G628" s="125"/>
      <c r="I628" s="476"/>
      <c r="J628" s="402"/>
      <c r="K628" s="477"/>
      <c r="L628" s="127"/>
    </row>
    <row r="629">
      <c r="A629" s="121"/>
      <c r="B629" s="122"/>
      <c r="D629" s="123"/>
      <c r="E629" s="123"/>
      <c r="F629" s="125"/>
      <c r="G629" s="125"/>
      <c r="I629" s="476"/>
      <c r="J629" s="402"/>
      <c r="K629" s="477"/>
      <c r="L629" s="127"/>
    </row>
    <row r="630">
      <c r="A630" s="121"/>
      <c r="B630" s="122"/>
      <c r="D630" s="123"/>
      <c r="E630" s="123"/>
      <c r="F630" s="125"/>
      <c r="G630" s="125"/>
      <c r="I630" s="476"/>
      <c r="J630" s="402"/>
      <c r="K630" s="477"/>
      <c r="L630" s="127"/>
    </row>
    <row r="631">
      <c r="A631" s="121"/>
      <c r="B631" s="122"/>
      <c r="D631" s="123"/>
      <c r="E631" s="123"/>
      <c r="F631" s="125"/>
      <c r="G631" s="125"/>
      <c r="I631" s="476"/>
      <c r="J631" s="402"/>
      <c r="K631" s="477"/>
      <c r="L631" s="127"/>
    </row>
    <row r="632">
      <c r="A632" s="121"/>
      <c r="B632" s="122"/>
      <c r="D632" s="123"/>
      <c r="E632" s="123"/>
      <c r="F632" s="125"/>
      <c r="G632" s="125"/>
      <c r="I632" s="476"/>
      <c r="J632" s="402"/>
      <c r="K632" s="477"/>
      <c r="L632" s="127"/>
    </row>
    <row r="633">
      <c r="A633" s="121"/>
      <c r="B633" s="122"/>
      <c r="D633" s="123"/>
      <c r="E633" s="123"/>
      <c r="F633" s="125"/>
      <c r="G633" s="125"/>
      <c r="I633" s="476"/>
      <c r="J633" s="402"/>
      <c r="K633" s="477"/>
      <c r="L633" s="127"/>
    </row>
    <row r="634">
      <c r="A634" s="121"/>
      <c r="B634" s="122"/>
      <c r="D634" s="123"/>
      <c r="E634" s="123"/>
      <c r="F634" s="125"/>
      <c r="G634" s="125"/>
      <c r="I634" s="476"/>
      <c r="J634" s="402"/>
      <c r="K634" s="477"/>
      <c r="L634" s="127"/>
    </row>
    <row r="635">
      <c r="A635" s="121"/>
      <c r="B635" s="122"/>
      <c r="D635" s="123"/>
      <c r="E635" s="123"/>
      <c r="F635" s="125"/>
      <c r="G635" s="125"/>
      <c r="I635" s="476"/>
      <c r="J635" s="402"/>
      <c r="K635" s="477"/>
      <c r="L635" s="127"/>
    </row>
    <row r="636">
      <c r="A636" s="121"/>
      <c r="B636" s="122"/>
      <c r="D636" s="123"/>
      <c r="E636" s="123"/>
      <c r="F636" s="125"/>
      <c r="G636" s="125"/>
      <c r="I636" s="476"/>
      <c r="J636" s="402"/>
      <c r="K636" s="477"/>
      <c r="L636" s="127"/>
    </row>
    <row r="637">
      <c r="A637" s="121"/>
      <c r="B637" s="122"/>
      <c r="D637" s="123"/>
      <c r="E637" s="123"/>
      <c r="F637" s="125"/>
      <c r="G637" s="125"/>
      <c r="I637" s="476"/>
      <c r="J637" s="402"/>
      <c r="K637" s="477"/>
      <c r="L637" s="127"/>
    </row>
    <row r="638">
      <c r="A638" s="121"/>
      <c r="B638" s="122"/>
      <c r="D638" s="123"/>
      <c r="E638" s="123"/>
      <c r="F638" s="125"/>
      <c r="G638" s="125"/>
      <c r="I638" s="476"/>
      <c r="J638" s="402"/>
      <c r="K638" s="477"/>
      <c r="L638" s="127"/>
    </row>
    <row r="639">
      <c r="A639" s="121"/>
      <c r="B639" s="122"/>
      <c r="D639" s="123"/>
      <c r="E639" s="123"/>
      <c r="F639" s="125"/>
      <c r="G639" s="125"/>
      <c r="I639" s="476"/>
      <c r="J639" s="402"/>
      <c r="K639" s="477"/>
      <c r="L639" s="127"/>
    </row>
    <row r="640">
      <c r="A640" s="121"/>
      <c r="B640" s="122"/>
      <c r="D640" s="123"/>
      <c r="E640" s="123"/>
      <c r="F640" s="125"/>
      <c r="G640" s="125"/>
      <c r="I640" s="476"/>
      <c r="J640" s="402"/>
      <c r="K640" s="477"/>
      <c r="L640" s="127"/>
    </row>
    <row r="641">
      <c r="A641" s="121"/>
      <c r="B641" s="122"/>
      <c r="D641" s="123"/>
      <c r="E641" s="123"/>
      <c r="F641" s="125"/>
      <c r="G641" s="125"/>
      <c r="I641" s="476"/>
      <c r="J641" s="402"/>
      <c r="K641" s="477"/>
      <c r="L641" s="127"/>
    </row>
    <row r="642">
      <c r="A642" s="121"/>
      <c r="B642" s="122"/>
      <c r="D642" s="123"/>
      <c r="E642" s="123"/>
      <c r="F642" s="125"/>
      <c r="G642" s="125"/>
      <c r="I642" s="476"/>
      <c r="J642" s="402"/>
      <c r="K642" s="477"/>
      <c r="L642" s="127"/>
    </row>
    <row r="643">
      <c r="A643" s="121"/>
      <c r="B643" s="122"/>
      <c r="D643" s="123"/>
      <c r="E643" s="123"/>
      <c r="F643" s="125"/>
      <c r="G643" s="125"/>
      <c r="I643" s="476"/>
      <c r="J643" s="402"/>
      <c r="K643" s="477"/>
      <c r="L643" s="127"/>
    </row>
    <row r="644">
      <c r="A644" s="121"/>
      <c r="B644" s="122"/>
      <c r="D644" s="123"/>
      <c r="E644" s="123"/>
      <c r="F644" s="125"/>
      <c r="G644" s="125"/>
      <c r="I644" s="476"/>
      <c r="J644" s="402"/>
      <c r="K644" s="477"/>
      <c r="L644" s="127"/>
    </row>
    <row r="645">
      <c r="A645" s="121"/>
      <c r="B645" s="122"/>
      <c r="D645" s="123"/>
      <c r="E645" s="123"/>
      <c r="F645" s="125"/>
      <c r="G645" s="125"/>
      <c r="I645" s="476"/>
      <c r="J645" s="402"/>
      <c r="K645" s="477"/>
      <c r="L645" s="127"/>
    </row>
    <row r="646">
      <c r="A646" s="121"/>
      <c r="B646" s="122"/>
      <c r="D646" s="123"/>
      <c r="E646" s="123"/>
      <c r="F646" s="125"/>
      <c r="G646" s="125"/>
      <c r="I646" s="476"/>
      <c r="J646" s="402"/>
      <c r="K646" s="477"/>
      <c r="L646" s="127"/>
    </row>
    <row r="647">
      <c r="A647" s="121"/>
      <c r="B647" s="122"/>
      <c r="D647" s="123"/>
      <c r="E647" s="123"/>
      <c r="F647" s="125"/>
      <c r="G647" s="125"/>
      <c r="I647" s="476"/>
      <c r="J647" s="402"/>
      <c r="K647" s="477"/>
      <c r="L647" s="127"/>
    </row>
    <row r="648">
      <c r="A648" s="121"/>
      <c r="B648" s="122"/>
      <c r="D648" s="123"/>
      <c r="E648" s="123"/>
      <c r="F648" s="125"/>
      <c r="G648" s="125"/>
      <c r="I648" s="476"/>
      <c r="J648" s="402"/>
      <c r="K648" s="477"/>
      <c r="L648" s="127"/>
    </row>
    <row r="649">
      <c r="A649" s="121"/>
      <c r="B649" s="122"/>
      <c r="D649" s="123"/>
      <c r="E649" s="123"/>
      <c r="F649" s="125"/>
      <c r="G649" s="125"/>
      <c r="I649" s="476"/>
      <c r="J649" s="402"/>
      <c r="K649" s="477"/>
      <c r="L649" s="127"/>
    </row>
    <row r="650">
      <c r="A650" s="121"/>
      <c r="B650" s="122"/>
      <c r="D650" s="123"/>
      <c r="E650" s="123"/>
      <c r="F650" s="125"/>
      <c r="G650" s="125"/>
      <c r="I650" s="476"/>
      <c r="J650" s="402"/>
      <c r="K650" s="477"/>
      <c r="L650" s="127"/>
    </row>
    <row r="651">
      <c r="A651" s="121"/>
      <c r="B651" s="122"/>
      <c r="D651" s="123"/>
      <c r="E651" s="123"/>
      <c r="F651" s="125"/>
      <c r="G651" s="125"/>
      <c r="I651" s="476"/>
      <c r="J651" s="402"/>
      <c r="K651" s="477"/>
      <c r="L651" s="127"/>
    </row>
    <row r="652">
      <c r="A652" s="121"/>
      <c r="B652" s="122"/>
      <c r="D652" s="123"/>
      <c r="E652" s="123"/>
      <c r="F652" s="125"/>
      <c r="G652" s="125"/>
      <c r="I652" s="476"/>
      <c r="J652" s="402"/>
      <c r="K652" s="477"/>
      <c r="L652" s="127"/>
    </row>
    <row r="653">
      <c r="A653" s="121"/>
      <c r="B653" s="122"/>
      <c r="D653" s="123"/>
      <c r="E653" s="123"/>
      <c r="F653" s="125"/>
      <c r="G653" s="125"/>
      <c r="I653" s="476"/>
      <c r="J653" s="402"/>
      <c r="K653" s="477"/>
      <c r="L653" s="127"/>
    </row>
    <row r="654">
      <c r="A654" s="121"/>
      <c r="B654" s="122"/>
      <c r="D654" s="123"/>
      <c r="E654" s="123"/>
      <c r="F654" s="125"/>
      <c r="G654" s="125"/>
      <c r="I654" s="476"/>
      <c r="J654" s="402"/>
      <c r="K654" s="477"/>
      <c r="L654" s="127"/>
    </row>
    <row r="655">
      <c r="A655" s="121"/>
      <c r="B655" s="122"/>
      <c r="D655" s="123"/>
      <c r="E655" s="123"/>
      <c r="F655" s="125"/>
      <c r="G655" s="125"/>
      <c r="I655" s="476"/>
      <c r="J655" s="402"/>
      <c r="K655" s="477"/>
      <c r="L655" s="127"/>
    </row>
    <row r="656">
      <c r="A656" s="121"/>
      <c r="B656" s="122"/>
      <c r="D656" s="123"/>
      <c r="E656" s="123"/>
      <c r="F656" s="125"/>
      <c r="G656" s="125"/>
      <c r="I656" s="476"/>
      <c r="J656" s="402"/>
      <c r="K656" s="477"/>
      <c r="L656" s="127"/>
    </row>
    <row r="657">
      <c r="A657" s="121"/>
      <c r="B657" s="122"/>
      <c r="D657" s="123"/>
      <c r="E657" s="123"/>
      <c r="F657" s="125"/>
      <c r="G657" s="125"/>
      <c r="I657" s="476"/>
      <c r="J657" s="402"/>
      <c r="K657" s="477"/>
      <c r="L657" s="127"/>
    </row>
    <row r="658">
      <c r="A658" s="121"/>
      <c r="B658" s="122"/>
      <c r="D658" s="123"/>
      <c r="E658" s="123"/>
      <c r="F658" s="125"/>
      <c r="G658" s="125"/>
      <c r="I658" s="476"/>
      <c r="J658" s="402"/>
      <c r="K658" s="477"/>
      <c r="L658" s="127"/>
    </row>
    <row r="659">
      <c r="A659" s="121"/>
      <c r="B659" s="122"/>
      <c r="D659" s="123"/>
      <c r="E659" s="123"/>
      <c r="F659" s="125"/>
      <c r="G659" s="125"/>
      <c r="I659" s="476"/>
      <c r="J659" s="402"/>
      <c r="K659" s="477"/>
      <c r="L659" s="127"/>
    </row>
    <row r="660">
      <c r="A660" s="121"/>
      <c r="B660" s="122"/>
      <c r="D660" s="123"/>
      <c r="E660" s="123"/>
      <c r="F660" s="125"/>
      <c r="G660" s="125"/>
      <c r="I660" s="476"/>
      <c r="J660" s="402"/>
      <c r="K660" s="477"/>
      <c r="L660" s="127"/>
    </row>
    <row r="661">
      <c r="A661" s="121"/>
      <c r="B661" s="122"/>
      <c r="D661" s="123"/>
      <c r="E661" s="123"/>
      <c r="F661" s="125"/>
      <c r="G661" s="125"/>
      <c r="I661" s="476"/>
      <c r="J661" s="402"/>
      <c r="K661" s="477"/>
      <c r="L661" s="127"/>
    </row>
    <row r="662">
      <c r="A662" s="121"/>
      <c r="B662" s="122"/>
      <c r="D662" s="123"/>
      <c r="E662" s="123"/>
      <c r="F662" s="125"/>
      <c r="G662" s="125"/>
      <c r="I662" s="476"/>
      <c r="J662" s="402"/>
      <c r="K662" s="477"/>
      <c r="L662" s="127"/>
    </row>
    <row r="663">
      <c r="A663" s="121"/>
      <c r="B663" s="122"/>
      <c r="D663" s="123"/>
      <c r="E663" s="123"/>
      <c r="F663" s="125"/>
      <c r="G663" s="125"/>
      <c r="I663" s="476"/>
      <c r="J663" s="402"/>
      <c r="K663" s="477"/>
      <c r="L663" s="127"/>
    </row>
    <row r="664">
      <c r="A664" s="121"/>
      <c r="B664" s="122"/>
      <c r="D664" s="123"/>
      <c r="E664" s="123"/>
      <c r="F664" s="125"/>
      <c r="G664" s="125"/>
      <c r="I664" s="476"/>
      <c r="J664" s="402"/>
      <c r="K664" s="477"/>
      <c r="L664" s="127"/>
    </row>
    <row r="665">
      <c r="A665" s="121"/>
      <c r="B665" s="122"/>
      <c r="D665" s="123"/>
      <c r="E665" s="123"/>
      <c r="F665" s="125"/>
      <c r="G665" s="125"/>
      <c r="I665" s="476"/>
      <c r="J665" s="402"/>
      <c r="K665" s="477"/>
      <c r="L665" s="127"/>
    </row>
    <row r="666">
      <c r="A666" s="121"/>
      <c r="B666" s="122"/>
      <c r="D666" s="123"/>
      <c r="E666" s="123"/>
      <c r="F666" s="125"/>
      <c r="G666" s="125"/>
      <c r="I666" s="476"/>
      <c r="J666" s="402"/>
      <c r="K666" s="477"/>
      <c r="L666" s="127"/>
    </row>
    <row r="667">
      <c r="A667" s="121"/>
      <c r="B667" s="122"/>
      <c r="D667" s="123"/>
      <c r="E667" s="123"/>
      <c r="F667" s="125"/>
      <c r="G667" s="125"/>
      <c r="I667" s="476"/>
      <c r="J667" s="402"/>
      <c r="K667" s="477"/>
      <c r="L667" s="127"/>
    </row>
    <row r="668">
      <c r="A668" s="121"/>
      <c r="B668" s="122"/>
      <c r="D668" s="123"/>
      <c r="E668" s="123"/>
      <c r="F668" s="125"/>
      <c r="G668" s="125"/>
      <c r="I668" s="476"/>
      <c r="J668" s="402"/>
      <c r="K668" s="477"/>
      <c r="L668" s="127"/>
    </row>
    <row r="669">
      <c r="A669" s="121"/>
      <c r="B669" s="122"/>
      <c r="D669" s="123"/>
      <c r="E669" s="123"/>
      <c r="F669" s="125"/>
      <c r="G669" s="125"/>
      <c r="I669" s="476"/>
      <c r="J669" s="402"/>
      <c r="K669" s="477"/>
      <c r="L669" s="127"/>
    </row>
    <row r="670">
      <c r="A670" s="121"/>
      <c r="B670" s="122"/>
      <c r="D670" s="123"/>
      <c r="E670" s="123"/>
      <c r="F670" s="125"/>
      <c r="G670" s="125"/>
      <c r="I670" s="476"/>
      <c r="J670" s="402"/>
      <c r="K670" s="477"/>
      <c r="L670" s="127"/>
    </row>
    <row r="671">
      <c r="A671" s="121"/>
      <c r="B671" s="122"/>
      <c r="D671" s="123"/>
      <c r="E671" s="123"/>
      <c r="F671" s="125"/>
      <c r="G671" s="125"/>
      <c r="I671" s="476"/>
      <c r="J671" s="402"/>
      <c r="K671" s="477"/>
      <c r="L671" s="127"/>
    </row>
    <row r="672">
      <c r="A672" s="121"/>
      <c r="B672" s="122"/>
      <c r="D672" s="123"/>
      <c r="E672" s="123"/>
      <c r="F672" s="125"/>
      <c r="G672" s="125"/>
      <c r="I672" s="476"/>
      <c r="J672" s="402"/>
      <c r="K672" s="477"/>
      <c r="L672" s="127"/>
    </row>
    <row r="673">
      <c r="A673" s="121"/>
      <c r="B673" s="122"/>
      <c r="D673" s="123"/>
      <c r="E673" s="123"/>
      <c r="F673" s="125"/>
      <c r="G673" s="125"/>
      <c r="I673" s="476"/>
      <c r="J673" s="402"/>
      <c r="K673" s="477"/>
      <c r="L673" s="127"/>
    </row>
    <row r="674">
      <c r="A674" s="121"/>
      <c r="B674" s="122"/>
      <c r="D674" s="123"/>
      <c r="E674" s="123"/>
      <c r="F674" s="125"/>
      <c r="G674" s="125"/>
      <c r="I674" s="476"/>
      <c r="J674" s="402"/>
      <c r="K674" s="477"/>
      <c r="L674" s="127"/>
    </row>
    <row r="675">
      <c r="A675" s="121"/>
      <c r="B675" s="122"/>
      <c r="D675" s="123"/>
      <c r="E675" s="123"/>
      <c r="F675" s="125"/>
      <c r="G675" s="125"/>
      <c r="I675" s="476"/>
      <c r="J675" s="402"/>
      <c r="K675" s="477"/>
      <c r="L675" s="127"/>
    </row>
    <row r="676">
      <c r="A676" s="121"/>
      <c r="B676" s="122"/>
      <c r="D676" s="123"/>
      <c r="E676" s="123"/>
      <c r="F676" s="125"/>
      <c r="G676" s="125"/>
      <c r="I676" s="476"/>
      <c r="J676" s="402"/>
      <c r="K676" s="477"/>
      <c r="L676" s="127"/>
    </row>
    <row r="677">
      <c r="A677" s="121"/>
      <c r="B677" s="122"/>
      <c r="D677" s="123"/>
      <c r="E677" s="123"/>
      <c r="F677" s="125"/>
      <c r="G677" s="125"/>
      <c r="I677" s="476"/>
      <c r="J677" s="402"/>
      <c r="K677" s="477"/>
      <c r="L677" s="127"/>
    </row>
    <row r="678">
      <c r="A678" s="121"/>
      <c r="B678" s="122"/>
      <c r="D678" s="123"/>
      <c r="E678" s="123"/>
      <c r="F678" s="125"/>
      <c r="G678" s="125"/>
      <c r="I678" s="476"/>
      <c r="J678" s="402"/>
      <c r="K678" s="477"/>
      <c r="L678" s="127"/>
    </row>
    <row r="679">
      <c r="A679" s="121"/>
      <c r="B679" s="122"/>
      <c r="D679" s="123"/>
      <c r="E679" s="123"/>
      <c r="F679" s="125"/>
      <c r="G679" s="125"/>
      <c r="I679" s="476"/>
      <c r="J679" s="402"/>
      <c r="K679" s="477"/>
      <c r="L679" s="127"/>
    </row>
    <row r="680">
      <c r="A680" s="121"/>
      <c r="B680" s="122"/>
      <c r="D680" s="123"/>
      <c r="E680" s="123"/>
      <c r="F680" s="125"/>
      <c r="G680" s="125"/>
      <c r="I680" s="476"/>
      <c r="J680" s="402"/>
      <c r="K680" s="477"/>
      <c r="L680" s="127"/>
    </row>
    <row r="681">
      <c r="A681" s="121"/>
      <c r="B681" s="122"/>
      <c r="D681" s="123"/>
      <c r="E681" s="123"/>
      <c r="F681" s="125"/>
      <c r="G681" s="125"/>
      <c r="I681" s="476"/>
      <c r="J681" s="402"/>
      <c r="K681" s="477"/>
      <c r="L681" s="127"/>
    </row>
    <row r="682">
      <c r="A682" s="121"/>
      <c r="B682" s="122"/>
      <c r="D682" s="123"/>
      <c r="E682" s="123"/>
      <c r="F682" s="125"/>
      <c r="G682" s="125"/>
      <c r="I682" s="476"/>
      <c r="J682" s="402"/>
      <c r="K682" s="477"/>
      <c r="L682" s="127"/>
    </row>
    <row r="683">
      <c r="A683" s="121"/>
      <c r="B683" s="122"/>
      <c r="D683" s="123"/>
      <c r="E683" s="123"/>
      <c r="F683" s="125"/>
      <c r="G683" s="125"/>
      <c r="I683" s="476"/>
      <c r="J683" s="402"/>
      <c r="K683" s="477"/>
      <c r="L683" s="127"/>
    </row>
    <row r="684">
      <c r="A684" s="121"/>
      <c r="B684" s="122"/>
      <c r="D684" s="123"/>
      <c r="E684" s="123"/>
      <c r="F684" s="125"/>
      <c r="G684" s="125"/>
      <c r="I684" s="476"/>
      <c r="J684" s="402"/>
      <c r="K684" s="477"/>
      <c r="L684" s="127"/>
    </row>
    <row r="685">
      <c r="A685" s="121"/>
      <c r="B685" s="122"/>
      <c r="D685" s="123"/>
      <c r="E685" s="123"/>
      <c r="F685" s="125"/>
      <c r="G685" s="125"/>
      <c r="I685" s="476"/>
      <c r="J685" s="402"/>
      <c r="K685" s="477"/>
      <c r="L685" s="127"/>
    </row>
    <row r="686">
      <c r="A686" s="121"/>
      <c r="B686" s="122"/>
      <c r="D686" s="123"/>
      <c r="E686" s="123"/>
      <c r="F686" s="125"/>
      <c r="G686" s="125"/>
      <c r="I686" s="476"/>
      <c r="J686" s="402"/>
      <c r="K686" s="477"/>
      <c r="L686" s="127"/>
    </row>
    <row r="687">
      <c r="A687" s="121"/>
      <c r="B687" s="122"/>
      <c r="D687" s="123"/>
      <c r="E687" s="123"/>
      <c r="F687" s="125"/>
      <c r="G687" s="125"/>
      <c r="I687" s="476"/>
      <c r="J687" s="402"/>
      <c r="K687" s="477"/>
      <c r="L687" s="127"/>
    </row>
    <row r="688">
      <c r="A688" s="121"/>
      <c r="B688" s="122"/>
      <c r="D688" s="123"/>
      <c r="E688" s="123"/>
      <c r="F688" s="125"/>
      <c r="G688" s="125"/>
      <c r="I688" s="476"/>
      <c r="J688" s="402"/>
      <c r="K688" s="477"/>
      <c r="L688" s="127"/>
    </row>
    <row r="689">
      <c r="A689" s="121"/>
      <c r="B689" s="122"/>
      <c r="D689" s="123"/>
      <c r="E689" s="123"/>
      <c r="F689" s="125"/>
      <c r="G689" s="125"/>
      <c r="I689" s="476"/>
      <c r="J689" s="402"/>
      <c r="K689" s="477"/>
      <c r="L689" s="127"/>
    </row>
    <row r="690">
      <c r="A690" s="121"/>
      <c r="B690" s="122"/>
      <c r="D690" s="123"/>
      <c r="E690" s="123"/>
      <c r="F690" s="125"/>
      <c r="G690" s="125"/>
      <c r="I690" s="476"/>
      <c r="J690" s="402"/>
      <c r="K690" s="477"/>
      <c r="L690" s="127"/>
    </row>
    <row r="691">
      <c r="A691" s="121"/>
      <c r="B691" s="122"/>
      <c r="D691" s="123"/>
      <c r="E691" s="123"/>
      <c r="F691" s="125"/>
      <c r="G691" s="125"/>
      <c r="I691" s="476"/>
      <c r="J691" s="402"/>
      <c r="K691" s="477"/>
      <c r="L691" s="127"/>
    </row>
    <row r="692">
      <c r="A692" s="121"/>
      <c r="B692" s="122"/>
      <c r="D692" s="123"/>
      <c r="E692" s="123"/>
      <c r="F692" s="125"/>
      <c r="G692" s="125"/>
      <c r="I692" s="476"/>
      <c r="J692" s="402"/>
      <c r="K692" s="477"/>
      <c r="L692" s="127"/>
    </row>
    <row r="693">
      <c r="A693" s="121"/>
      <c r="B693" s="122"/>
      <c r="D693" s="123"/>
      <c r="E693" s="123"/>
      <c r="F693" s="125"/>
      <c r="G693" s="125"/>
      <c r="I693" s="476"/>
      <c r="J693" s="402"/>
      <c r="K693" s="477"/>
      <c r="L693" s="127"/>
    </row>
    <row r="694">
      <c r="A694" s="121"/>
      <c r="B694" s="122"/>
      <c r="D694" s="123"/>
      <c r="E694" s="123"/>
      <c r="F694" s="125"/>
      <c r="G694" s="125"/>
      <c r="I694" s="476"/>
      <c r="J694" s="402"/>
      <c r="K694" s="477"/>
      <c r="L694" s="127"/>
    </row>
    <row r="695">
      <c r="A695" s="121"/>
      <c r="B695" s="122"/>
      <c r="D695" s="123"/>
      <c r="E695" s="123"/>
      <c r="F695" s="125"/>
      <c r="G695" s="125"/>
      <c r="I695" s="476"/>
      <c r="J695" s="402"/>
      <c r="K695" s="477"/>
      <c r="L695" s="127"/>
    </row>
    <row r="696">
      <c r="A696" s="121"/>
      <c r="B696" s="122"/>
      <c r="D696" s="123"/>
      <c r="E696" s="123"/>
      <c r="F696" s="125"/>
      <c r="G696" s="125"/>
      <c r="I696" s="476"/>
      <c r="J696" s="402"/>
      <c r="K696" s="477"/>
      <c r="L696" s="127"/>
    </row>
    <row r="697">
      <c r="A697" s="121"/>
      <c r="B697" s="122"/>
      <c r="D697" s="123"/>
      <c r="E697" s="123"/>
      <c r="F697" s="125"/>
      <c r="G697" s="125"/>
      <c r="I697" s="476"/>
      <c r="J697" s="402"/>
      <c r="K697" s="477"/>
      <c r="L697" s="127"/>
    </row>
    <row r="698">
      <c r="A698" s="121"/>
      <c r="B698" s="122"/>
      <c r="D698" s="123"/>
      <c r="E698" s="123"/>
      <c r="F698" s="125"/>
      <c r="G698" s="125"/>
      <c r="I698" s="476"/>
      <c r="J698" s="402"/>
      <c r="K698" s="477"/>
      <c r="L698" s="127"/>
    </row>
    <row r="699">
      <c r="A699" s="121"/>
      <c r="B699" s="122"/>
      <c r="D699" s="123"/>
      <c r="E699" s="123"/>
      <c r="F699" s="125"/>
      <c r="G699" s="125"/>
      <c r="I699" s="476"/>
      <c r="J699" s="402"/>
      <c r="K699" s="477"/>
      <c r="L699" s="127"/>
    </row>
    <row r="700">
      <c r="A700" s="121"/>
      <c r="B700" s="122"/>
      <c r="D700" s="123"/>
      <c r="E700" s="123"/>
      <c r="F700" s="125"/>
      <c r="G700" s="125"/>
      <c r="I700" s="476"/>
      <c r="J700" s="402"/>
      <c r="K700" s="477"/>
      <c r="L700" s="127"/>
    </row>
    <row r="701">
      <c r="A701" s="121"/>
      <c r="B701" s="122"/>
      <c r="D701" s="123"/>
      <c r="E701" s="123"/>
      <c r="F701" s="125"/>
      <c r="G701" s="125"/>
      <c r="I701" s="476"/>
      <c r="J701" s="402"/>
      <c r="K701" s="477"/>
      <c r="L701" s="127"/>
    </row>
    <row r="702">
      <c r="A702" s="121"/>
      <c r="B702" s="122"/>
      <c r="D702" s="123"/>
      <c r="E702" s="123"/>
      <c r="F702" s="125"/>
      <c r="G702" s="125"/>
      <c r="I702" s="476"/>
      <c r="J702" s="402"/>
      <c r="K702" s="477"/>
      <c r="L702" s="127"/>
    </row>
    <row r="703">
      <c r="A703" s="121"/>
      <c r="B703" s="122"/>
      <c r="D703" s="123"/>
      <c r="E703" s="123"/>
      <c r="F703" s="125"/>
      <c r="G703" s="125"/>
      <c r="I703" s="476"/>
      <c r="J703" s="402"/>
      <c r="K703" s="477"/>
      <c r="L703" s="127"/>
    </row>
    <row r="704">
      <c r="A704" s="121"/>
      <c r="B704" s="122"/>
      <c r="D704" s="123"/>
      <c r="E704" s="123"/>
      <c r="F704" s="125"/>
      <c r="G704" s="125"/>
      <c r="I704" s="476"/>
      <c r="J704" s="402"/>
      <c r="K704" s="477"/>
      <c r="L704" s="127"/>
    </row>
    <row r="705">
      <c r="A705" s="121"/>
      <c r="B705" s="122"/>
      <c r="D705" s="123"/>
      <c r="E705" s="123"/>
      <c r="F705" s="125"/>
      <c r="G705" s="125"/>
      <c r="I705" s="476"/>
      <c r="J705" s="402"/>
      <c r="K705" s="477"/>
      <c r="L705" s="127"/>
    </row>
    <row r="706">
      <c r="A706" s="121"/>
      <c r="B706" s="122"/>
      <c r="D706" s="123"/>
      <c r="E706" s="123"/>
      <c r="F706" s="125"/>
      <c r="G706" s="125"/>
      <c r="I706" s="476"/>
      <c r="J706" s="402"/>
      <c r="K706" s="477"/>
      <c r="L706" s="127"/>
    </row>
    <row r="707">
      <c r="A707" s="121"/>
      <c r="B707" s="122"/>
      <c r="D707" s="123"/>
      <c r="E707" s="123"/>
      <c r="F707" s="125"/>
      <c r="G707" s="125"/>
      <c r="I707" s="476"/>
      <c r="J707" s="402"/>
      <c r="K707" s="477"/>
      <c r="L707" s="127"/>
    </row>
    <row r="708">
      <c r="A708" s="121"/>
      <c r="B708" s="122"/>
      <c r="D708" s="123"/>
      <c r="E708" s="123"/>
      <c r="F708" s="125"/>
      <c r="G708" s="125"/>
      <c r="I708" s="476"/>
      <c r="J708" s="402"/>
      <c r="K708" s="477"/>
      <c r="L708" s="127"/>
    </row>
    <row r="709">
      <c r="A709" s="121"/>
      <c r="B709" s="122"/>
      <c r="D709" s="123"/>
      <c r="E709" s="123"/>
      <c r="F709" s="125"/>
      <c r="G709" s="125"/>
      <c r="I709" s="476"/>
      <c r="J709" s="402"/>
      <c r="K709" s="477"/>
      <c r="L709" s="127"/>
    </row>
    <row r="710">
      <c r="A710" s="121"/>
      <c r="B710" s="122"/>
      <c r="D710" s="123"/>
      <c r="E710" s="123"/>
      <c r="F710" s="125"/>
      <c r="G710" s="125"/>
      <c r="I710" s="476"/>
      <c r="J710" s="402"/>
      <c r="K710" s="477"/>
      <c r="L710" s="127"/>
    </row>
    <row r="711">
      <c r="A711" s="121"/>
      <c r="B711" s="122"/>
      <c r="D711" s="123"/>
      <c r="E711" s="123"/>
      <c r="F711" s="125"/>
      <c r="G711" s="125"/>
      <c r="I711" s="476"/>
      <c r="J711" s="402"/>
      <c r="K711" s="477"/>
      <c r="L711" s="127"/>
    </row>
    <row r="712">
      <c r="A712" s="121"/>
      <c r="B712" s="122"/>
      <c r="D712" s="123"/>
      <c r="E712" s="123"/>
      <c r="F712" s="125"/>
      <c r="G712" s="125"/>
      <c r="I712" s="476"/>
      <c r="J712" s="402"/>
      <c r="K712" s="477"/>
      <c r="L712" s="127"/>
    </row>
    <row r="713">
      <c r="A713" s="121"/>
      <c r="B713" s="122"/>
      <c r="D713" s="123"/>
      <c r="E713" s="123"/>
      <c r="F713" s="125"/>
      <c r="G713" s="125"/>
      <c r="I713" s="476"/>
      <c r="J713" s="402"/>
      <c r="K713" s="477"/>
      <c r="L713" s="127"/>
    </row>
    <row r="714">
      <c r="A714" s="121"/>
      <c r="B714" s="122"/>
      <c r="D714" s="123"/>
      <c r="E714" s="123"/>
      <c r="F714" s="125"/>
      <c r="G714" s="125"/>
      <c r="I714" s="476"/>
      <c r="J714" s="402"/>
      <c r="K714" s="477"/>
      <c r="L714" s="127"/>
    </row>
    <row r="715">
      <c r="A715" s="121"/>
      <c r="B715" s="122"/>
      <c r="D715" s="123"/>
      <c r="E715" s="123"/>
      <c r="F715" s="125"/>
      <c r="G715" s="125"/>
      <c r="I715" s="476"/>
      <c r="J715" s="402"/>
      <c r="K715" s="477"/>
      <c r="L715" s="127"/>
    </row>
    <row r="716">
      <c r="A716" s="121"/>
      <c r="B716" s="122"/>
      <c r="D716" s="123"/>
      <c r="E716" s="123"/>
      <c r="F716" s="125"/>
      <c r="G716" s="125"/>
      <c r="I716" s="476"/>
      <c r="J716" s="402"/>
      <c r="K716" s="477"/>
      <c r="L716" s="127"/>
    </row>
    <row r="717">
      <c r="A717" s="121"/>
      <c r="B717" s="122"/>
      <c r="D717" s="123"/>
      <c r="E717" s="123"/>
      <c r="F717" s="125"/>
      <c r="G717" s="125"/>
      <c r="I717" s="476"/>
      <c r="J717" s="402"/>
      <c r="K717" s="477"/>
      <c r="L717" s="127"/>
    </row>
    <row r="718">
      <c r="A718" s="121"/>
      <c r="B718" s="122"/>
      <c r="D718" s="123"/>
      <c r="E718" s="123"/>
      <c r="F718" s="125"/>
      <c r="G718" s="125"/>
      <c r="I718" s="476"/>
      <c r="J718" s="402"/>
      <c r="K718" s="477"/>
      <c r="L718" s="127"/>
    </row>
    <row r="719">
      <c r="A719" s="121"/>
      <c r="B719" s="122"/>
      <c r="D719" s="123"/>
      <c r="E719" s="123"/>
      <c r="F719" s="125"/>
      <c r="G719" s="125"/>
      <c r="I719" s="476"/>
      <c r="J719" s="402"/>
      <c r="K719" s="477"/>
      <c r="L719" s="127"/>
    </row>
    <row r="720">
      <c r="A720" s="121"/>
      <c r="B720" s="122"/>
      <c r="D720" s="123"/>
      <c r="E720" s="123"/>
      <c r="F720" s="125"/>
      <c r="G720" s="125"/>
      <c r="I720" s="476"/>
      <c r="J720" s="402"/>
      <c r="K720" s="477"/>
      <c r="L720" s="127"/>
    </row>
    <row r="721">
      <c r="A721" s="121"/>
      <c r="B721" s="122"/>
      <c r="D721" s="123"/>
      <c r="E721" s="123"/>
      <c r="F721" s="125"/>
      <c r="G721" s="125"/>
      <c r="I721" s="476"/>
      <c r="J721" s="402"/>
      <c r="K721" s="477"/>
      <c r="L721" s="127"/>
    </row>
    <row r="722">
      <c r="A722" s="121"/>
      <c r="B722" s="122"/>
      <c r="D722" s="123"/>
      <c r="E722" s="123"/>
      <c r="F722" s="125"/>
      <c r="G722" s="125"/>
      <c r="I722" s="476"/>
      <c r="J722" s="402"/>
      <c r="K722" s="477"/>
      <c r="L722" s="127"/>
    </row>
    <row r="723">
      <c r="A723" s="121"/>
      <c r="B723" s="122"/>
      <c r="D723" s="123"/>
      <c r="E723" s="123"/>
      <c r="F723" s="125"/>
      <c r="G723" s="125"/>
      <c r="I723" s="476"/>
      <c r="J723" s="402"/>
      <c r="K723" s="477"/>
      <c r="L723" s="127"/>
    </row>
    <row r="724">
      <c r="A724" s="121"/>
      <c r="B724" s="122"/>
      <c r="D724" s="123"/>
      <c r="E724" s="123"/>
      <c r="F724" s="125"/>
      <c r="G724" s="125"/>
      <c r="I724" s="476"/>
      <c r="J724" s="402"/>
      <c r="K724" s="477"/>
      <c r="L724" s="127"/>
    </row>
    <row r="725">
      <c r="A725" s="121"/>
      <c r="B725" s="122"/>
      <c r="D725" s="123"/>
      <c r="E725" s="123"/>
      <c r="F725" s="125"/>
      <c r="G725" s="125"/>
      <c r="I725" s="476"/>
      <c r="J725" s="402"/>
      <c r="K725" s="477"/>
      <c r="L725" s="127"/>
    </row>
    <row r="726">
      <c r="A726" s="121"/>
      <c r="B726" s="122"/>
      <c r="D726" s="123"/>
      <c r="E726" s="123"/>
      <c r="F726" s="125"/>
      <c r="G726" s="125"/>
      <c r="I726" s="476"/>
      <c r="J726" s="402"/>
      <c r="K726" s="477"/>
      <c r="L726" s="127"/>
    </row>
    <row r="727">
      <c r="A727" s="121"/>
      <c r="B727" s="122"/>
      <c r="D727" s="123"/>
      <c r="E727" s="123"/>
      <c r="F727" s="125"/>
      <c r="G727" s="125"/>
      <c r="I727" s="476"/>
      <c r="J727" s="402"/>
      <c r="K727" s="477"/>
      <c r="L727" s="127"/>
    </row>
    <row r="728">
      <c r="A728" s="121"/>
      <c r="B728" s="122"/>
      <c r="D728" s="123"/>
      <c r="E728" s="123"/>
      <c r="F728" s="125"/>
      <c r="G728" s="125"/>
      <c r="I728" s="476"/>
      <c r="J728" s="402"/>
      <c r="K728" s="477"/>
      <c r="L728" s="127"/>
    </row>
    <row r="729">
      <c r="A729" s="121"/>
      <c r="B729" s="122"/>
      <c r="D729" s="123"/>
      <c r="E729" s="123"/>
      <c r="F729" s="125"/>
      <c r="G729" s="125"/>
      <c r="I729" s="476"/>
      <c r="J729" s="402"/>
      <c r="K729" s="477"/>
      <c r="L729" s="127"/>
    </row>
    <row r="730">
      <c r="A730" s="121"/>
      <c r="B730" s="122"/>
      <c r="D730" s="123"/>
      <c r="E730" s="123"/>
      <c r="F730" s="125"/>
      <c r="G730" s="125"/>
      <c r="I730" s="476"/>
      <c r="J730" s="402"/>
      <c r="K730" s="477"/>
      <c r="L730" s="127"/>
    </row>
    <row r="731">
      <c r="A731" s="121"/>
      <c r="B731" s="122"/>
      <c r="D731" s="123"/>
      <c r="E731" s="123"/>
      <c r="F731" s="125"/>
      <c r="G731" s="125"/>
      <c r="I731" s="476"/>
      <c r="J731" s="402"/>
      <c r="K731" s="477"/>
      <c r="L731" s="127"/>
    </row>
    <row r="732">
      <c r="A732" s="121"/>
      <c r="B732" s="122"/>
      <c r="D732" s="123"/>
      <c r="E732" s="123"/>
      <c r="F732" s="125"/>
      <c r="G732" s="125"/>
      <c r="I732" s="476"/>
      <c r="J732" s="402"/>
      <c r="K732" s="477"/>
      <c r="L732" s="127"/>
    </row>
    <row r="733">
      <c r="A733" s="121"/>
      <c r="B733" s="122"/>
      <c r="D733" s="123"/>
      <c r="E733" s="123"/>
      <c r="F733" s="125"/>
      <c r="G733" s="125"/>
      <c r="I733" s="476"/>
      <c r="J733" s="402"/>
      <c r="K733" s="477"/>
      <c r="L733" s="127"/>
    </row>
    <row r="734">
      <c r="A734" s="121"/>
      <c r="B734" s="122"/>
      <c r="D734" s="123"/>
      <c r="E734" s="123"/>
      <c r="F734" s="125"/>
      <c r="G734" s="125"/>
      <c r="I734" s="476"/>
      <c r="J734" s="402"/>
      <c r="K734" s="477"/>
      <c r="L734" s="127"/>
    </row>
    <row r="735">
      <c r="A735" s="121"/>
      <c r="B735" s="122"/>
      <c r="D735" s="123"/>
      <c r="E735" s="123"/>
      <c r="F735" s="125"/>
      <c r="G735" s="125"/>
      <c r="I735" s="476"/>
      <c r="J735" s="402"/>
      <c r="K735" s="477"/>
      <c r="L735" s="127"/>
    </row>
    <row r="736">
      <c r="A736" s="121"/>
      <c r="B736" s="122"/>
      <c r="D736" s="123"/>
      <c r="E736" s="123"/>
      <c r="F736" s="125"/>
      <c r="G736" s="125"/>
      <c r="I736" s="476"/>
      <c r="J736" s="402"/>
      <c r="K736" s="477"/>
      <c r="L736" s="127"/>
    </row>
    <row r="737">
      <c r="A737" s="121"/>
      <c r="B737" s="122"/>
      <c r="D737" s="123"/>
      <c r="E737" s="123"/>
      <c r="F737" s="125"/>
      <c r="G737" s="125"/>
      <c r="I737" s="476"/>
      <c r="J737" s="402"/>
      <c r="K737" s="477"/>
      <c r="L737" s="127"/>
    </row>
    <row r="738">
      <c r="A738" s="121"/>
      <c r="B738" s="122"/>
      <c r="D738" s="123"/>
      <c r="E738" s="123"/>
      <c r="F738" s="125"/>
      <c r="G738" s="125"/>
      <c r="I738" s="476"/>
      <c r="J738" s="402"/>
      <c r="K738" s="477"/>
      <c r="L738" s="127"/>
    </row>
    <row r="739">
      <c r="A739" s="121"/>
      <c r="B739" s="122"/>
      <c r="D739" s="123"/>
      <c r="E739" s="123"/>
      <c r="F739" s="125"/>
      <c r="G739" s="125"/>
      <c r="I739" s="476"/>
      <c r="J739" s="402"/>
      <c r="K739" s="477"/>
      <c r="L739" s="127"/>
    </row>
    <row r="740">
      <c r="A740" s="121"/>
      <c r="B740" s="122"/>
      <c r="D740" s="123"/>
      <c r="E740" s="123"/>
      <c r="F740" s="125"/>
      <c r="G740" s="125"/>
      <c r="I740" s="476"/>
      <c r="J740" s="402"/>
      <c r="K740" s="477"/>
      <c r="L740" s="127"/>
    </row>
    <row r="741">
      <c r="A741" s="121"/>
      <c r="B741" s="122"/>
      <c r="D741" s="123"/>
      <c r="E741" s="123"/>
      <c r="F741" s="125"/>
      <c r="G741" s="125"/>
      <c r="I741" s="476"/>
      <c r="J741" s="402"/>
      <c r="K741" s="477"/>
      <c r="L741" s="127"/>
    </row>
    <row r="742">
      <c r="A742" s="121"/>
      <c r="B742" s="122"/>
      <c r="D742" s="123"/>
      <c r="E742" s="123"/>
      <c r="F742" s="125"/>
      <c r="G742" s="125"/>
      <c r="I742" s="476"/>
      <c r="J742" s="402"/>
      <c r="K742" s="477"/>
      <c r="L742" s="127"/>
    </row>
    <row r="743">
      <c r="A743" s="121"/>
      <c r="B743" s="122"/>
      <c r="D743" s="123"/>
      <c r="E743" s="123"/>
      <c r="F743" s="125"/>
      <c r="G743" s="125"/>
      <c r="I743" s="476"/>
      <c r="J743" s="402"/>
      <c r="K743" s="477"/>
      <c r="L743" s="127"/>
    </row>
    <row r="744">
      <c r="A744" s="121"/>
      <c r="B744" s="122"/>
      <c r="D744" s="123"/>
      <c r="E744" s="123"/>
      <c r="F744" s="125"/>
      <c r="G744" s="125"/>
      <c r="I744" s="476"/>
      <c r="J744" s="402"/>
      <c r="K744" s="477"/>
      <c r="L744" s="127"/>
    </row>
    <row r="745">
      <c r="A745" s="121"/>
      <c r="B745" s="122"/>
      <c r="D745" s="123"/>
      <c r="E745" s="123"/>
      <c r="F745" s="125"/>
      <c r="G745" s="125"/>
      <c r="I745" s="476"/>
      <c r="J745" s="402"/>
      <c r="K745" s="477"/>
      <c r="L745" s="127"/>
    </row>
    <row r="746">
      <c r="A746" s="121"/>
      <c r="B746" s="122"/>
      <c r="D746" s="123"/>
      <c r="E746" s="123"/>
      <c r="F746" s="125"/>
      <c r="G746" s="125"/>
      <c r="I746" s="476"/>
      <c r="J746" s="402"/>
      <c r="K746" s="477"/>
      <c r="L746" s="127"/>
    </row>
    <row r="747">
      <c r="A747" s="121"/>
      <c r="B747" s="122"/>
      <c r="D747" s="123"/>
      <c r="E747" s="123"/>
      <c r="F747" s="125"/>
      <c r="G747" s="125"/>
      <c r="I747" s="476"/>
      <c r="J747" s="402"/>
      <c r="K747" s="477"/>
      <c r="L747" s="127"/>
    </row>
    <row r="748">
      <c r="A748" s="121"/>
      <c r="B748" s="122"/>
      <c r="D748" s="123"/>
      <c r="E748" s="123"/>
      <c r="F748" s="125"/>
      <c r="G748" s="125"/>
      <c r="I748" s="476"/>
      <c r="J748" s="402"/>
      <c r="K748" s="477"/>
      <c r="L748" s="127"/>
    </row>
    <row r="749">
      <c r="A749" s="121"/>
      <c r="B749" s="122"/>
      <c r="D749" s="123"/>
      <c r="E749" s="123"/>
      <c r="F749" s="125"/>
      <c r="G749" s="125"/>
      <c r="I749" s="476"/>
      <c r="J749" s="402"/>
      <c r="K749" s="477"/>
      <c r="L749" s="127"/>
    </row>
    <row r="750">
      <c r="A750" s="121"/>
      <c r="B750" s="122"/>
      <c r="D750" s="123"/>
      <c r="E750" s="123"/>
      <c r="F750" s="125"/>
      <c r="G750" s="125"/>
      <c r="I750" s="476"/>
      <c r="J750" s="402"/>
      <c r="K750" s="477"/>
      <c r="L750" s="127"/>
    </row>
    <row r="751">
      <c r="A751" s="121"/>
      <c r="B751" s="122"/>
      <c r="D751" s="123"/>
      <c r="E751" s="123"/>
      <c r="F751" s="125"/>
      <c r="G751" s="125"/>
      <c r="I751" s="476"/>
      <c r="J751" s="402"/>
      <c r="K751" s="477"/>
      <c r="L751" s="127"/>
    </row>
    <row r="752">
      <c r="A752" s="121"/>
      <c r="B752" s="122"/>
      <c r="D752" s="123"/>
      <c r="E752" s="123"/>
      <c r="F752" s="125"/>
      <c r="G752" s="125"/>
      <c r="I752" s="476"/>
      <c r="J752" s="402"/>
      <c r="K752" s="477"/>
      <c r="L752" s="127"/>
    </row>
    <row r="753">
      <c r="A753" s="121"/>
      <c r="B753" s="122"/>
      <c r="D753" s="123"/>
      <c r="E753" s="123"/>
      <c r="F753" s="125"/>
      <c r="G753" s="125"/>
      <c r="I753" s="476"/>
      <c r="J753" s="402"/>
      <c r="K753" s="477"/>
      <c r="L753" s="127"/>
    </row>
    <row r="754">
      <c r="A754" s="121"/>
      <c r="B754" s="122"/>
      <c r="D754" s="123"/>
      <c r="E754" s="123"/>
      <c r="F754" s="125"/>
      <c r="G754" s="125"/>
      <c r="I754" s="476"/>
      <c r="J754" s="402"/>
      <c r="K754" s="477"/>
      <c r="L754" s="127"/>
    </row>
    <row r="755">
      <c r="A755" s="121"/>
      <c r="B755" s="122"/>
      <c r="D755" s="123"/>
      <c r="E755" s="123"/>
      <c r="F755" s="125"/>
      <c r="G755" s="125"/>
      <c r="I755" s="476"/>
      <c r="J755" s="402"/>
      <c r="K755" s="477"/>
      <c r="L755" s="127"/>
    </row>
    <row r="756">
      <c r="A756" s="121"/>
      <c r="B756" s="122"/>
      <c r="D756" s="123"/>
      <c r="E756" s="123"/>
      <c r="F756" s="125"/>
      <c r="G756" s="125"/>
      <c r="I756" s="476"/>
      <c r="J756" s="402"/>
      <c r="K756" s="477"/>
      <c r="L756" s="127"/>
    </row>
    <row r="757">
      <c r="A757" s="121"/>
      <c r="B757" s="122"/>
      <c r="D757" s="123"/>
      <c r="E757" s="123"/>
      <c r="F757" s="125"/>
      <c r="G757" s="125"/>
      <c r="I757" s="476"/>
      <c r="J757" s="402"/>
      <c r="K757" s="477"/>
      <c r="L757" s="127"/>
    </row>
    <row r="758">
      <c r="A758" s="121"/>
      <c r="B758" s="122"/>
      <c r="D758" s="123"/>
      <c r="E758" s="123"/>
      <c r="F758" s="125"/>
      <c r="G758" s="125"/>
      <c r="I758" s="476"/>
      <c r="J758" s="402"/>
      <c r="K758" s="477"/>
      <c r="L758" s="127"/>
    </row>
    <row r="759">
      <c r="A759" s="121"/>
      <c r="B759" s="122"/>
      <c r="D759" s="123"/>
      <c r="E759" s="123"/>
      <c r="F759" s="125"/>
      <c r="G759" s="125"/>
      <c r="I759" s="476"/>
      <c r="J759" s="402"/>
      <c r="K759" s="477"/>
      <c r="L759" s="127"/>
    </row>
    <row r="760">
      <c r="A760" s="121"/>
      <c r="B760" s="122"/>
      <c r="D760" s="123"/>
      <c r="E760" s="123"/>
      <c r="F760" s="125"/>
      <c r="G760" s="125"/>
      <c r="I760" s="476"/>
      <c r="J760" s="402"/>
      <c r="K760" s="477"/>
      <c r="L760" s="127"/>
    </row>
    <row r="761">
      <c r="A761" s="121"/>
      <c r="B761" s="122"/>
      <c r="D761" s="123"/>
      <c r="E761" s="123"/>
      <c r="F761" s="125"/>
      <c r="G761" s="125"/>
      <c r="I761" s="476"/>
      <c r="J761" s="402"/>
      <c r="K761" s="477"/>
      <c r="L761" s="127"/>
    </row>
    <row r="762">
      <c r="A762" s="121"/>
      <c r="B762" s="122"/>
      <c r="D762" s="123"/>
      <c r="E762" s="123"/>
      <c r="F762" s="125"/>
      <c r="G762" s="125"/>
      <c r="I762" s="476"/>
      <c r="J762" s="402"/>
      <c r="K762" s="477"/>
      <c r="L762" s="127"/>
    </row>
    <row r="763">
      <c r="A763" s="121"/>
      <c r="B763" s="122"/>
      <c r="D763" s="123"/>
      <c r="E763" s="123"/>
      <c r="F763" s="125"/>
      <c r="G763" s="125"/>
      <c r="I763" s="476"/>
      <c r="J763" s="402"/>
      <c r="K763" s="477"/>
      <c r="L763" s="127"/>
    </row>
    <row r="764">
      <c r="A764" s="121"/>
      <c r="B764" s="122"/>
      <c r="D764" s="123"/>
      <c r="E764" s="123"/>
      <c r="F764" s="125"/>
      <c r="G764" s="125"/>
      <c r="I764" s="476"/>
      <c r="J764" s="402"/>
      <c r="K764" s="477"/>
      <c r="L764" s="127"/>
    </row>
    <row r="765">
      <c r="A765" s="121"/>
      <c r="B765" s="122"/>
      <c r="D765" s="123"/>
      <c r="E765" s="123"/>
      <c r="F765" s="125"/>
      <c r="G765" s="125"/>
      <c r="I765" s="476"/>
      <c r="J765" s="402"/>
      <c r="K765" s="477"/>
      <c r="L765" s="127"/>
    </row>
    <row r="766">
      <c r="A766" s="121"/>
      <c r="B766" s="122"/>
      <c r="D766" s="123"/>
      <c r="E766" s="123"/>
      <c r="F766" s="125"/>
      <c r="G766" s="125"/>
      <c r="I766" s="476"/>
      <c r="J766" s="402"/>
      <c r="K766" s="477"/>
      <c r="L766" s="127"/>
    </row>
    <row r="767">
      <c r="A767" s="121"/>
      <c r="B767" s="122"/>
      <c r="D767" s="123"/>
      <c r="E767" s="123"/>
      <c r="F767" s="125"/>
      <c r="G767" s="125"/>
      <c r="I767" s="476"/>
      <c r="J767" s="402"/>
      <c r="K767" s="477"/>
      <c r="L767" s="127"/>
    </row>
    <row r="768">
      <c r="A768" s="121"/>
      <c r="B768" s="122"/>
      <c r="D768" s="123"/>
      <c r="E768" s="123"/>
      <c r="F768" s="125"/>
      <c r="G768" s="125"/>
      <c r="I768" s="476"/>
      <c r="J768" s="402"/>
      <c r="K768" s="477"/>
      <c r="L768" s="127"/>
    </row>
    <row r="769">
      <c r="A769" s="121"/>
      <c r="B769" s="122"/>
      <c r="D769" s="123"/>
      <c r="E769" s="123"/>
      <c r="F769" s="125"/>
      <c r="G769" s="125"/>
      <c r="I769" s="476"/>
      <c r="J769" s="402"/>
      <c r="K769" s="477"/>
      <c r="L769" s="127"/>
    </row>
    <row r="770">
      <c r="A770" s="121"/>
      <c r="B770" s="122"/>
      <c r="D770" s="123"/>
      <c r="E770" s="123"/>
      <c r="F770" s="125"/>
      <c r="G770" s="125"/>
      <c r="I770" s="476"/>
      <c r="J770" s="402"/>
      <c r="K770" s="477"/>
      <c r="L770" s="127"/>
    </row>
    <row r="771">
      <c r="A771" s="121"/>
      <c r="B771" s="122"/>
      <c r="D771" s="123"/>
      <c r="E771" s="123"/>
      <c r="F771" s="125"/>
      <c r="G771" s="125"/>
      <c r="I771" s="476"/>
      <c r="J771" s="402"/>
      <c r="K771" s="477"/>
      <c r="L771" s="127"/>
    </row>
    <row r="772">
      <c r="A772" s="121"/>
      <c r="B772" s="122"/>
      <c r="D772" s="123"/>
      <c r="E772" s="123"/>
      <c r="F772" s="125"/>
      <c r="G772" s="125"/>
      <c r="I772" s="476"/>
      <c r="J772" s="402"/>
      <c r="K772" s="477"/>
      <c r="L772" s="127"/>
    </row>
    <row r="773">
      <c r="A773" s="121"/>
      <c r="B773" s="122"/>
      <c r="D773" s="123"/>
      <c r="E773" s="123"/>
      <c r="F773" s="125"/>
      <c r="G773" s="125"/>
      <c r="I773" s="476"/>
      <c r="J773" s="402"/>
      <c r="K773" s="477"/>
      <c r="L773" s="127"/>
    </row>
    <row r="774">
      <c r="A774" s="121"/>
      <c r="B774" s="122"/>
      <c r="D774" s="123"/>
      <c r="E774" s="123"/>
      <c r="F774" s="125"/>
      <c r="G774" s="125"/>
      <c r="I774" s="476"/>
      <c r="J774" s="402"/>
      <c r="K774" s="477"/>
      <c r="L774" s="127"/>
    </row>
    <row r="775">
      <c r="A775" s="121"/>
      <c r="B775" s="122"/>
      <c r="D775" s="123"/>
      <c r="E775" s="123"/>
      <c r="F775" s="125"/>
      <c r="G775" s="125"/>
      <c r="I775" s="476"/>
      <c r="J775" s="402"/>
      <c r="K775" s="477"/>
      <c r="L775" s="127"/>
    </row>
    <row r="776">
      <c r="A776" s="121"/>
      <c r="B776" s="122"/>
      <c r="D776" s="123"/>
      <c r="E776" s="123"/>
      <c r="F776" s="125"/>
      <c r="G776" s="125"/>
      <c r="I776" s="476"/>
      <c r="J776" s="402"/>
      <c r="K776" s="477"/>
      <c r="L776" s="127"/>
    </row>
    <row r="777">
      <c r="A777" s="121"/>
      <c r="B777" s="122"/>
      <c r="D777" s="123"/>
      <c r="E777" s="123"/>
      <c r="F777" s="125"/>
      <c r="G777" s="125"/>
      <c r="I777" s="476"/>
      <c r="J777" s="402"/>
      <c r="K777" s="477"/>
      <c r="L777" s="127"/>
    </row>
    <row r="778">
      <c r="A778" s="121"/>
      <c r="B778" s="122"/>
      <c r="D778" s="123"/>
      <c r="E778" s="123"/>
      <c r="F778" s="125"/>
      <c r="G778" s="125"/>
      <c r="I778" s="476"/>
      <c r="J778" s="402"/>
      <c r="K778" s="477"/>
      <c r="L778" s="127"/>
    </row>
    <row r="779">
      <c r="A779" s="121"/>
      <c r="B779" s="122"/>
      <c r="D779" s="123"/>
      <c r="E779" s="123"/>
      <c r="F779" s="125"/>
      <c r="G779" s="125"/>
      <c r="I779" s="476"/>
      <c r="J779" s="402"/>
      <c r="K779" s="477"/>
      <c r="L779" s="127"/>
    </row>
    <row r="780">
      <c r="A780" s="121"/>
      <c r="B780" s="122"/>
      <c r="D780" s="123"/>
      <c r="E780" s="123"/>
      <c r="F780" s="125"/>
      <c r="G780" s="125"/>
      <c r="I780" s="476"/>
      <c r="J780" s="402"/>
      <c r="K780" s="477"/>
      <c r="L780" s="127"/>
    </row>
    <row r="781">
      <c r="A781" s="121"/>
      <c r="B781" s="122"/>
      <c r="D781" s="123"/>
      <c r="E781" s="123"/>
      <c r="F781" s="125"/>
      <c r="G781" s="125"/>
      <c r="I781" s="476"/>
      <c r="J781" s="402"/>
      <c r="K781" s="477"/>
      <c r="L781" s="127"/>
    </row>
    <row r="782">
      <c r="A782" s="121"/>
      <c r="B782" s="122"/>
      <c r="D782" s="123"/>
      <c r="E782" s="123"/>
      <c r="F782" s="125"/>
      <c r="G782" s="125"/>
      <c r="I782" s="476"/>
      <c r="J782" s="402"/>
      <c r="K782" s="477"/>
      <c r="L782" s="127"/>
    </row>
    <row r="783">
      <c r="A783" s="121"/>
      <c r="B783" s="122"/>
      <c r="D783" s="123"/>
      <c r="E783" s="123"/>
      <c r="F783" s="125"/>
      <c r="G783" s="125"/>
      <c r="I783" s="476"/>
      <c r="J783" s="402"/>
      <c r="K783" s="477"/>
      <c r="L783" s="127"/>
    </row>
    <row r="784">
      <c r="A784" s="121"/>
      <c r="B784" s="122"/>
      <c r="D784" s="123"/>
      <c r="E784" s="123"/>
      <c r="F784" s="125"/>
      <c r="G784" s="125"/>
      <c r="I784" s="476"/>
      <c r="J784" s="402"/>
      <c r="K784" s="477"/>
      <c r="L784" s="127"/>
    </row>
    <row r="785">
      <c r="A785" s="121"/>
      <c r="B785" s="122"/>
      <c r="D785" s="123"/>
      <c r="E785" s="123"/>
      <c r="F785" s="125"/>
      <c r="G785" s="125"/>
      <c r="I785" s="476"/>
      <c r="J785" s="402"/>
      <c r="K785" s="477"/>
      <c r="L785" s="127"/>
    </row>
    <row r="786">
      <c r="A786" s="121"/>
      <c r="B786" s="122"/>
      <c r="D786" s="123"/>
      <c r="E786" s="123"/>
      <c r="F786" s="125"/>
      <c r="G786" s="125"/>
      <c r="I786" s="476"/>
      <c r="J786" s="402"/>
      <c r="K786" s="477"/>
      <c r="L786" s="127"/>
    </row>
    <row r="787">
      <c r="A787" s="121"/>
      <c r="B787" s="122"/>
      <c r="D787" s="123"/>
      <c r="E787" s="123"/>
      <c r="F787" s="125"/>
      <c r="G787" s="125"/>
      <c r="I787" s="476"/>
      <c r="J787" s="402"/>
      <c r="K787" s="477"/>
      <c r="L787" s="127"/>
    </row>
    <row r="788">
      <c r="A788" s="121"/>
      <c r="B788" s="122"/>
      <c r="D788" s="123"/>
      <c r="E788" s="123"/>
      <c r="F788" s="125"/>
      <c r="G788" s="125"/>
      <c r="I788" s="476"/>
      <c r="J788" s="402"/>
      <c r="K788" s="477"/>
      <c r="L788" s="127"/>
    </row>
    <row r="789">
      <c r="A789" s="121"/>
      <c r="B789" s="122"/>
      <c r="D789" s="123"/>
      <c r="E789" s="123"/>
      <c r="F789" s="125"/>
      <c r="G789" s="125"/>
      <c r="I789" s="476"/>
      <c r="J789" s="402"/>
      <c r="K789" s="477"/>
      <c r="L789" s="127"/>
    </row>
    <row r="790">
      <c r="A790" s="121"/>
      <c r="B790" s="122"/>
      <c r="D790" s="123"/>
      <c r="E790" s="123"/>
      <c r="F790" s="125"/>
      <c r="G790" s="125"/>
      <c r="I790" s="476"/>
      <c r="J790" s="402"/>
      <c r="K790" s="477"/>
      <c r="L790" s="127"/>
    </row>
    <row r="791">
      <c r="A791" s="121"/>
      <c r="B791" s="122"/>
      <c r="D791" s="123"/>
      <c r="E791" s="123"/>
      <c r="F791" s="125"/>
      <c r="G791" s="125"/>
      <c r="I791" s="476"/>
      <c r="J791" s="402"/>
      <c r="K791" s="477"/>
      <c r="L791" s="127"/>
    </row>
    <row r="792">
      <c r="A792" s="121"/>
      <c r="B792" s="122"/>
      <c r="D792" s="123"/>
      <c r="E792" s="123"/>
      <c r="F792" s="125"/>
      <c r="G792" s="125"/>
      <c r="I792" s="476"/>
      <c r="J792" s="402"/>
      <c r="K792" s="477"/>
      <c r="L792" s="127"/>
    </row>
    <row r="793">
      <c r="A793" s="121"/>
      <c r="B793" s="122"/>
      <c r="D793" s="123"/>
      <c r="E793" s="123"/>
      <c r="F793" s="125"/>
      <c r="G793" s="125"/>
      <c r="I793" s="476"/>
      <c r="J793" s="402"/>
      <c r="K793" s="477"/>
      <c r="L793" s="127"/>
    </row>
    <row r="794">
      <c r="A794" s="121"/>
      <c r="B794" s="122"/>
      <c r="D794" s="123"/>
      <c r="E794" s="123"/>
      <c r="F794" s="125"/>
      <c r="G794" s="125"/>
      <c r="I794" s="476"/>
      <c r="J794" s="402"/>
      <c r="K794" s="477"/>
      <c r="L794" s="127"/>
    </row>
    <row r="795">
      <c r="A795" s="121"/>
      <c r="B795" s="122"/>
      <c r="D795" s="123"/>
      <c r="E795" s="123"/>
      <c r="F795" s="125"/>
      <c r="G795" s="125"/>
      <c r="I795" s="476"/>
      <c r="J795" s="402"/>
      <c r="K795" s="477"/>
      <c r="L795" s="127"/>
    </row>
    <row r="796">
      <c r="A796" s="121"/>
      <c r="B796" s="122"/>
      <c r="D796" s="123"/>
      <c r="E796" s="123"/>
      <c r="F796" s="125"/>
      <c r="G796" s="125"/>
      <c r="I796" s="476"/>
      <c r="J796" s="402"/>
      <c r="K796" s="477"/>
      <c r="L796" s="127"/>
    </row>
    <row r="797">
      <c r="A797" s="121"/>
      <c r="B797" s="122"/>
      <c r="D797" s="123"/>
      <c r="E797" s="123"/>
      <c r="F797" s="125"/>
      <c r="G797" s="125"/>
      <c r="I797" s="476"/>
      <c r="J797" s="402"/>
      <c r="K797" s="477"/>
      <c r="L797" s="127"/>
    </row>
    <row r="798">
      <c r="A798" s="121"/>
      <c r="B798" s="122"/>
      <c r="D798" s="123"/>
      <c r="E798" s="123"/>
      <c r="F798" s="125"/>
      <c r="G798" s="125"/>
      <c r="I798" s="476"/>
      <c r="J798" s="402"/>
      <c r="K798" s="477"/>
      <c r="L798" s="127"/>
    </row>
    <row r="799">
      <c r="A799" s="121"/>
      <c r="B799" s="122"/>
      <c r="D799" s="123"/>
      <c r="E799" s="123"/>
      <c r="F799" s="125"/>
      <c r="G799" s="125"/>
      <c r="I799" s="476"/>
      <c r="J799" s="402"/>
      <c r="K799" s="477"/>
      <c r="L799" s="127"/>
    </row>
    <row r="800">
      <c r="A800" s="121"/>
      <c r="B800" s="122"/>
      <c r="D800" s="123"/>
      <c r="E800" s="123"/>
      <c r="F800" s="125"/>
      <c r="G800" s="125"/>
      <c r="I800" s="476"/>
      <c r="J800" s="402"/>
      <c r="K800" s="477"/>
      <c r="L800" s="127"/>
    </row>
    <row r="801">
      <c r="A801" s="121"/>
      <c r="B801" s="122"/>
      <c r="D801" s="123"/>
      <c r="E801" s="123"/>
      <c r="F801" s="125"/>
      <c r="G801" s="125"/>
      <c r="I801" s="476"/>
      <c r="J801" s="402"/>
      <c r="K801" s="477"/>
      <c r="L801" s="127"/>
    </row>
    <row r="802">
      <c r="A802" s="121"/>
      <c r="B802" s="122"/>
      <c r="D802" s="123"/>
      <c r="E802" s="123"/>
      <c r="F802" s="125"/>
      <c r="G802" s="125"/>
      <c r="I802" s="476"/>
      <c r="J802" s="402"/>
      <c r="K802" s="477"/>
      <c r="L802" s="127"/>
    </row>
    <row r="803">
      <c r="A803" s="121"/>
      <c r="B803" s="122"/>
      <c r="D803" s="123"/>
      <c r="E803" s="123"/>
      <c r="F803" s="125"/>
      <c r="G803" s="125"/>
      <c r="I803" s="476"/>
      <c r="J803" s="402"/>
      <c r="K803" s="477"/>
      <c r="L803" s="127"/>
    </row>
    <row r="804">
      <c r="A804" s="121"/>
      <c r="B804" s="122"/>
      <c r="D804" s="123"/>
      <c r="E804" s="123"/>
      <c r="F804" s="125"/>
      <c r="G804" s="125"/>
      <c r="I804" s="476"/>
      <c r="J804" s="402"/>
      <c r="K804" s="477"/>
      <c r="L804" s="127"/>
    </row>
    <row r="805">
      <c r="A805" s="121"/>
      <c r="B805" s="122"/>
      <c r="D805" s="123"/>
      <c r="E805" s="123"/>
      <c r="F805" s="125"/>
      <c r="G805" s="125"/>
      <c r="I805" s="476"/>
      <c r="J805" s="402"/>
      <c r="K805" s="477"/>
      <c r="L805" s="127"/>
    </row>
    <row r="806">
      <c r="A806" s="121"/>
      <c r="B806" s="122"/>
      <c r="D806" s="123"/>
      <c r="E806" s="123"/>
      <c r="F806" s="125"/>
      <c r="G806" s="125"/>
      <c r="I806" s="476"/>
      <c r="J806" s="402"/>
      <c r="K806" s="477"/>
      <c r="L806" s="127"/>
    </row>
    <row r="807">
      <c r="A807" s="121"/>
      <c r="B807" s="122"/>
      <c r="D807" s="123"/>
      <c r="E807" s="123"/>
      <c r="F807" s="125"/>
      <c r="G807" s="125"/>
      <c r="I807" s="476"/>
      <c r="J807" s="402"/>
      <c r="K807" s="477"/>
      <c r="L807" s="127"/>
    </row>
    <row r="808">
      <c r="A808" s="121"/>
      <c r="B808" s="122"/>
      <c r="D808" s="123"/>
      <c r="E808" s="123"/>
      <c r="F808" s="125"/>
      <c r="G808" s="125"/>
      <c r="I808" s="476"/>
      <c r="J808" s="402"/>
      <c r="K808" s="477"/>
      <c r="L808" s="127"/>
    </row>
    <row r="809">
      <c r="A809" s="121"/>
      <c r="B809" s="122"/>
      <c r="D809" s="123"/>
      <c r="E809" s="123"/>
      <c r="F809" s="125"/>
      <c r="G809" s="125"/>
      <c r="I809" s="476"/>
      <c r="J809" s="402"/>
      <c r="K809" s="477"/>
      <c r="L809" s="127"/>
    </row>
    <row r="810">
      <c r="A810" s="121"/>
      <c r="B810" s="122"/>
      <c r="D810" s="123"/>
      <c r="E810" s="123"/>
      <c r="F810" s="125"/>
      <c r="G810" s="125"/>
      <c r="I810" s="476"/>
      <c r="J810" s="402"/>
      <c r="K810" s="477"/>
      <c r="L810" s="127"/>
    </row>
    <row r="811">
      <c r="A811" s="121"/>
      <c r="B811" s="122"/>
      <c r="D811" s="123"/>
      <c r="E811" s="123"/>
      <c r="F811" s="125"/>
      <c r="G811" s="125"/>
      <c r="I811" s="476"/>
      <c r="J811" s="402"/>
      <c r="K811" s="477"/>
      <c r="L811" s="127"/>
    </row>
    <row r="812">
      <c r="A812" s="121"/>
      <c r="B812" s="122"/>
      <c r="D812" s="123"/>
      <c r="E812" s="123"/>
      <c r="F812" s="125"/>
      <c r="G812" s="125"/>
      <c r="I812" s="476"/>
      <c r="J812" s="402"/>
      <c r="K812" s="477"/>
      <c r="L812" s="127"/>
    </row>
    <row r="813">
      <c r="A813" s="121"/>
      <c r="B813" s="122"/>
      <c r="D813" s="123"/>
      <c r="E813" s="123"/>
      <c r="F813" s="125"/>
      <c r="G813" s="125"/>
      <c r="I813" s="476"/>
      <c r="J813" s="402"/>
      <c r="K813" s="477"/>
      <c r="L813" s="127"/>
    </row>
    <row r="814">
      <c r="A814" s="121"/>
      <c r="B814" s="122"/>
      <c r="D814" s="123"/>
      <c r="E814" s="123"/>
      <c r="F814" s="125"/>
      <c r="G814" s="125"/>
      <c r="I814" s="476"/>
      <c r="J814" s="402"/>
      <c r="K814" s="477"/>
      <c r="L814" s="127"/>
    </row>
    <row r="815">
      <c r="A815" s="121"/>
      <c r="B815" s="122"/>
      <c r="D815" s="123"/>
      <c r="E815" s="123"/>
      <c r="F815" s="125"/>
      <c r="G815" s="125"/>
      <c r="I815" s="476"/>
      <c r="J815" s="402"/>
      <c r="K815" s="477"/>
      <c r="L815" s="127"/>
    </row>
    <row r="816">
      <c r="A816" s="121"/>
      <c r="B816" s="122"/>
      <c r="D816" s="123"/>
      <c r="E816" s="123"/>
      <c r="F816" s="125"/>
      <c r="G816" s="125"/>
      <c r="I816" s="476"/>
      <c r="J816" s="402"/>
      <c r="K816" s="477"/>
      <c r="L816" s="127"/>
    </row>
    <row r="817">
      <c r="A817" s="121"/>
      <c r="B817" s="122"/>
      <c r="D817" s="123"/>
      <c r="E817" s="123"/>
      <c r="F817" s="125"/>
      <c r="G817" s="125"/>
      <c r="I817" s="476"/>
      <c r="J817" s="402"/>
      <c r="K817" s="477"/>
      <c r="L817" s="127"/>
    </row>
    <row r="818">
      <c r="A818" s="121"/>
      <c r="B818" s="122"/>
      <c r="D818" s="123"/>
      <c r="E818" s="123"/>
      <c r="F818" s="125"/>
      <c r="G818" s="125"/>
      <c r="I818" s="476"/>
      <c r="J818" s="402"/>
      <c r="K818" s="477"/>
      <c r="L818" s="127"/>
    </row>
    <row r="819">
      <c r="A819" s="121"/>
      <c r="B819" s="122"/>
      <c r="D819" s="123"/>
      <c r="E819" s="123"/>
      <c r="F819" s="125"/>
      <c r="G819" s="125"/>
      <c r="I819" s="476"/>
      <c r="J819" s="402"/>
      <c r="K819" s="477"/>
      <c r="L819" s="127"/>
    </row>
    <row r="820">
      <c r="A820" s="121"/>
      <c r="B820" s="122"/>
      <c r="D820" s="123"/>
      <c r="E820" s="123"/>
      <c r="F820" s="125"/>
      <c r="G820" s="125"/>
      <c r="I820" s="476"/>
      <c r="J820" s="402"/>
      <c r="K820" s="477"/>
      <c r="L820" s="127"/>
    </row>
    <row r="821">
      <c r="A821" s="121"/>
      <c r="B821" s="122"/>
      <c r="D821" s="123"/>
      <c r="E821" s="123"/>
      <c r="F821" s="125"/>
      <c r="G821" s="125"/>
      <c r="I821" s="476"/>
      <c r="J821" s="402"/>
      <c r="K821" s="477"/>
      <c r="L821" s="127"/>
    </row>
    <row r="822">
      <c r="A822" s="121"/>
      <c r="B822" s="122"/>
      <c r="D822" s="123"/>
      <c r="E822" s="123"/>
      <c r="F822" s="125"/>
      <c r="G822" s="125"/>
      <c r="I822" s="476"/>
      <c r="J822" s="402"/>
      <c r="K822" s="477"/>
      <c r="L822" s="127"/>
    </row>
    <row r="823">
      <c r="A823" s="121"/>
      <c r="B823" s="122"/>
      <c r="D823" s="123"/>
      <c r="E823" s="123"/>
      <c r="F823" s="125"/>
      <c r="G823" s="125"/>
      <c r="I823" s="476"/>
      <c r="J823" s="402"/>
      <c r="K823" s="477"/>
      <c r="L823" s="127"/>
    </row>
    <row r="824">
      <c r="A824" s="121"/>
      <c r="B824" s="122"/>
      <c r="D824" s="123"/>
      <c r="E824" s="123"/>
      <c r="F824" s="125"/>
      <c r="G824" s="125"/>
      <c r="I824" s="476"/>
      <c r="J824" s="402"/>
      <c r="K824" s="477"/>
      <c r="L824" s="127"/>
    </row>
    <row r="825">
      <c r="A825" s="121"/>
      <c r="B825" s="122"/>
      <c r="D825" s="123"/>
      <c r="E825" s="123"/>
      <c r="F825" s="125"/>
      <c r="G825" s="125"/>
      <c r="I825" s="476"/>
      <c r="J825" s="402"/>
      <c r="K825" s="477"/>
      <c r="L825" s="127"/>
    </row>
    <row r="826">
      <c r="A826" s="121"/>
      <c r="B826" s="122"/>
      <c r="D826" s="123"/>
      <c r="E826" s="123"/>
      <c r="F826" s="125"/>
      <c r="G826" s="125"/>
      <c r="I826" s="476"/>
      <c r="J826" s="402"/>
      <c r="K826" s="477"/>
      <c r="L826" s="127"/>
    </row>
    <row r="827">
      <c r="A827" s="121"/>
      <c r="B827" s="122"/>
      <c r="D827" s="123"/>
      <c r="E827" s="123"/>
      <c r="F827" s="125"/>
      <c r="G827" s="125"/>
      <c r="I827" s="476"/>
      <c r="J827" s="402"/>
      <c r="K827" s="477"/>
      <c r="L827" s="127"/>
    </row>
    <row r="828">
      <c r="A828" s="121"/>
      <c r="B828" s="122"/>
      <c r="D828" s="123"/>
      <c r="E828" s="123"/>
      <c r="F828" s="125"/>
      <c r="G828" s="125"/>
      <c r="I828" s="476"/>
      <c r="J828" s="402"/>
      <c r="K828" s="477"/>
      <c r="L828" s="127"/>
    </row>
    <row r="829">
      <c r="A829" s="121"/>
      <c r="B829" s="122"/>
      <c r="D829" s="123"/>
      <c r="E829" s="123"/>
      <c r="F829" s="125"/>
      <c r="G829" s="125"/>
      <c r="I829" s="476"/>
      <c r="J829" s="402"/>
      <c r="K829" s="477"/>
      <c r="L829" s="127"/>
    </row>
    <row r="830">
      <c r="A830" s="121"/>
      <c r="B830" s="122"/>
      <c r="D830" s="123"/>
      <c r="E830" s="123"/>
      <c r="F830" s="125"/>
      <c r="G830" s="125"/>
      <c r="I830" s="476"/>
      <c r="J830" s="402"/>
      <c r="K830" s="477"/>
      <c r="L830" s="127"/>
    </row>
    <row r="831">
      <c r="A831" s="121"/>
      <c r="B831" s="122"/>
      <c r="D831" s="123"/>
      <c r="E831" s="123"/>
      <c r="F831" s="125"/>
      <c r="G831" s="125"/>
      <c r="I831" s="476"/>
      <c r="J831" s="402"/>
      <c r="K831" s="477"/>
      <c r="L831" s="127"/>
    </row>
    <row r="832">
      <c r="A832" s="121"/>
      <c r="B832" s="122"/>
      <c r="D832" s="123"/>
      <c r="E832" s="123"/>
      <c r="F832" s="125"/>
      <c r="G832" s="125"/>
      <c r="I832" s="476"/>
      <c r="J832" s="402"/>
      <c r="K832" s="477"/>
      <c r="L832" s="127"/>
    </row>
    <row r="833">
      <c r="A833" s="121"/>
      <c r="B833" s="122"/>
      <c r="D833" s="123"/>
      <c r="E833" s="123"/>
      <c r="F833" s="125"/>
      <c r="G833" s="125"/>
      <c r="I833" s="476"/>
      <c r="J833" s="402"/>
      <c r="K833" s="477"/>
      <c r="L833" s="127"/>
    </row>
    <row r="834">
      <c r="A834" s="121"/>
      <c r="B834" s="122"/>
      <c r="D834" s="123"/>
      <c r="E834" s="123"/>
      <c r="F834" s="125"/>
      <c r="G834" s="125"/>
      <c r="I834" s="476"/>
      <c r="J834" s="402"/>
      <c r="K834" s="477"/>
      <c r="L834" s="127"/>
    </row>
    <row r="835">
      <c r="A835" s="121"/>
      <c r="B835" s="122"/>
      <c r="D835" s="123"/>
      <c r="E835" s="123"/>
      <c r="F835" s="125"/>
      <c r="G835" s="125"/>
      <c r="I835" s="476"/>
      <c r="J835" s="402"/>
      <c r="K835" s="477"/>
      <c r="L835" s="127"/>
    </row>
    <row r="836">
      <c r="A836" s="121"/>
      <c r="B836" s="122"/>
      <c r="D836" s="123"/>
      <c r="E836" s="123"/>
      <c r="F836" s="125"/>
      <c r="G836" s="125"/>
      <c r="I836" s="476"/>
      <c r="J836" s="402"/>
      <c r="K836" s="477"/>
      <c r="L836" s="127"/>
    </row>
    <row r="837">
      <c r="A837" s="121"/>
      <c r="B837" s="122"/>
      <c r="D837" s="123"/>
      <c r="E837" s="123"/>
      <c r="F837" s="125"/>
      <c r="G837" s="125"/>
      <c r="I837" s="476"/>
      <c r="J837" s="402"/>
      <c r="K837" s="477"/>
      <c r="L837" s="127"/>
    </row>
    <row r="838">
      <c r="A838" s="121"/>
      <c r="B838" s="122"/>
      <c r="D838" s="123"/>
      <c r="E838" s="123"/>
      <c r="F838" s="125"/>
      <c r="G838" s="125"/>
      <c r="I838" s="476"/>
      <c r="J838" s="402"/>
      <c r="K838" s="477"/>
      <c r="L838" s="127"/>
    </row>
    <row r="839">
      <c r="A839" s="121"/>
      <c r="B839" s="122"/>
      <c r="D839" s="123"/>
      <c r="E839" s="123"/>
      <c r="F839" s="125"/>
      <c r="G839" s="125"/>
      <c r="I839" s="476"/>
      <c r="J839" s="402"/>
      <c r="K839" s="477"/>
      <c r="L839" s="127"/>
    </row>
    <row r="840">
      <c r="A840" s="121"/>
      <c r="B840" s="122"/>
      <c r="D840" s="123"/>
      <c r="E840" s="123"/>
      <c r="F840" s="125"/>
      <c r="G840" s="125"/>
      <c r="I840" s="476"/>
      <c r="J840" s="402"/>
      <c r="K840" s="477"/>
      <c r="L840" s="127"/>
    </row>
    <row r="841">
      <c r="A841" s="121"/>
      <c r="B841" s="122"/>
      <c r="D841" s="123"/>
      <c r="E841" s="123"/>
      <c r="F841" s="125"/>
      <c r="G841" s="125"/>
      <c r="I841" s="476"/>
      <c r="J841" s="402"/>
      <c r="K841" s="477"/>
      <c r="L841" s="127"/>
    </row>
    <row r="842">
      <c r="A842" s="121"/>
      <c r="B842" s="122"/>
      <c r="D842" s="123"/>
      <c r="E842" s="123"/>
      <c r="F842" s="125"/>
      <c r="G842" s="125"/>
      <c r="I842" s="476"/>
      <c r="J842" s="402"/>
      <c r="K842" s="477"/>
      <c r="L842" s="127"/>
    </row>
    <row r="843">
      <c r="A843" s="121"/>
      <c r="B843" s="122"/>
      <c r="D843" s="123"/>
      <c r="E843" s="123"/>
      <c r="F843" s="125"/>
      <c r="G843" s="125"/>
      <c r="I843" s="476"/>
      <c r="J843" s="402"/>
      <c r="K843" s="477"/>
      <c r="L843" s="127"/>
    </row>
    <row r="844">
      <c r="A844" s="121"/>
      <c r="B844" s="122"/>
      <c r="D844" s="123"/>
      <c r="E844" s="123"/>
      <c r="F844" s="125"/>
      <c r="G844" s="125"/>
      <c r="I844" s="476"/>
      <c r="J844" s="402"/>
      <c r="K844" s="477"/>
      <c r="L844" s="127"/>
    </row>
    <row r="845">
      <c r="A845" s="121"/>
      <c r="B845" s="122"/>
      <c r="D845" s="123"/>
      <c r="E845" s="123"/>
      <c r="F845" s="125"/>
      <c r="G845" s="125"/>
      <c r="I845" s="476"/>
      <c r="J845" s="402"/>
      <c r="K845" s="477"/>
      <c r="L845" s="127"/>
    </row>
    <row r="846">
      <c r="A846" s="121"/>
      <c r="B846" s="122"/>
      <c r="D846" s="123"/>
      <c r="E846" s="123"/>
      <c r="F846" s="125"/>
      <c r="G846" s="125"/>
      <c r="I846" s="476"/>
      <c r="J846" s="402"/>
      <c r="K846" s="477"/>
      <c r="L846" s="127"/>
    </row>
    <row r="847">
      <c r="A847" s="121"/>
      <c r="B847" s="122"/>
      <c r="D847" s="123"/>
      <c r="E847" s="123"/>
      <c r="F847" s="125"/>
      <c r="G847" s="125"/>
      <c r="I847" s="476"/>
      <c r="J847" s="402"/>
      <c r="K847" s="477"/>
      <c r="L847" s="127"/>
    </row>
    <row r="848">
      <c r="A848" s="121"/>
      <c r="B848" s="122"/>
      <c r="D848" s="123"/>
      <c r="E848" s="123"/>
      <c r="F848" s="125"/>
      <c r="G848" s="125"/>
      <c r="I848" s="476"/>
      <c r="J848" s="402"/>
      <c r="K848" s="477"/>
      <c r="L848" s="127"/>
    </row>
    <row r="849">
      <c r="A849" s="121"/>
      <c r="B849" s="122"/>
      <c r="D849" s="123"/>
      <c r="E849" s="123"/>
      <c r="F849" s="125"/>
      <c r="G849" s="125"/>
      <c r="I849" s="476"/>
      <c r="J849" s="402"/>
      <c r="K849" s="477"/>
      <c r="L849" s="127"/>
    </row>
    <row r="850">
      <c r="A850" s="121"/>
      <c r="B850" s="122"/>
      <c r="D850" s="123"/>
      <c r="E850" s="123"/>
      <c r="F850" s="125"/>
      <c r="G850" s="125"/>
      <c r="I850" s="476"/>
      <c r="J850" s="402"/>
      <c r="K850" s="477"/>
      <c r="L850" s="127"/>
    </row>
    <row r="851">
      <c r="A851" s="121"/>
      <c r="B851" s="122"/>
      <c r="D851" s="123"/>
      <c r="E851" s="123"/>
      <c r="F851" s="125"/>
      <c r="G851" s="125"/>
      <c r="I851" s="476"/>
      <c r="J851" s="402"/>
      <c r="K851" s="477"/>
      <c r="L851" s="127"/>
    </row>
    <row r="852">
      <c r="A852" s="121"/>
      <c r="B852" s="122"/>
      <c r="D852" s="123"/>
      <c r="E852" s="123"/>
      <c r="F852" s="125"/>
      <c r="G852" s="125"/>
      <c r="I852" s="476"/>
      <c r="J852" s="402"/>
      <c r="K852" s="477"/>
      <c r="L852" s="127"/>
    </row>
    <row r="853">
      <c r="A853" s="121"/>
      <c r="B853" s="122"/>
      <c r="D853" s="123"/>
      <c r="E853" s="123"/>
      <c r="F853" s="125"/>
      <c r="G853" s="125"/>
      <c r="I853" s="476"/>
      <c r="J853" s="402"/>
      <c r="K853" s="477"/>
      <c r="L853" s="127"/>
    </row>
    <row r="854">
      <c r="A854" s="121"/>
      <c r="B854" s="122"/>
      <c r="D854" s="123"/>
      <c r="E854" s="123"/>
      <c r="F854" s="125"/>
      <c r="G854" s="125"/>
      <c r="I854" s="476"/>
      <c r="J854" s="402"/>
      <c r="K854" s="477"/>
      <c r="L854" s="127"/>
    </row>
    <row r="855">
      <c r="A855" s="121"/>
      <c r="B855" s="122"/>
      <c r="D855" s="123"/>
      <c r="E855" s="123"/>
      <c r="F855" s="125"/>
      <c r="G855" s="125"/>
      <c r="I855" s="476"/>
      <c r="J855" s="402"/>
      <c r="K855" s="477"/>
      <c r="L855" s="127"/>
    </row>
    <row r="856">
      <c r="A856" s="121"/>
      <c r="B856" s="122"/>
      <c r="D856" s="123"/>
      <c r="E856" s="123"/>
      <c r="F856" s="125"/>
      <c r="G856" s="125"/>
      <c r="I856" s="476"/>
      <c r="J856" s="402"/>
      <c r="K856" s="477"/>
      <c r="L856" s="127"/>
    </row>
    <row r="857">
      <c r="A857" s="121"/>
      <c r="B857" s="122"/>
      <c r="D857" s="123"/>
      <c r="E857" s="123"/>
      <c r="F857" s="125"/>
      <c r="G857" s="125"/>
      <c r="I857" s="476"/>
      <c r="J857" s="402"/>
      <c r="K857" s="477"/>
      <c r="L857" s="127"/>
    </row>
    <row r="858">
      <c r="A858" s="121"/>
      <c r="B858" s="122"/>
      <c r="D858" s="123"/>
      <c r="E858" s="123"/>
      <c r="F858" s="125"/>
      <c r="G858" s="125"/>
      <c r="I858" s="476"/>
      <c r="J858" s="402"/>
      <c r="K858" s="477"/>
      <c r="L858" s="127"/>
    </row>
    <row r="859">
      <c r="A859" s="121"/>
      <c r="B859" s="122"/>
      <c r="D859" s="123"/>
      <c r="E859" s="123"/>
      <c r="F859" s="125"/>
      <c r="G859" s="125"/>
      <c r="I859" s="476"/>
      <c r="J859" s="402"/>
      <c r="K859" s="477"/>
      <c r="L859" s="127"/>
    </row>
    <row r="860">
      <c r="A860" s="121"/>
      <c r="B860" s="122"/>
      <c r="D860" s="123"/>
      <c r="E860" s="123"/>
      <c r="F860" s="125"/>
      <c r="G860" s="125"/>
      <c r="I860" s="476"/>
      <c r="J860" s="402"/>
      <c r="K860" s="477"/>
      <c r="L860" s="127"/>
    </row>
    <row r="861">
      <c r="A861" s="121"/>
      <c r="B861" s="122"/>
      <c r="D861" s="123"/>
      <c r="E861" s="123"/>
      <c r="F861" s="125"/>
      <c r="G861" s="125"/>
      <c r="I861" s="476"/>
      <c r="J861" s="402"/>
      <c r="K861" s="477"/>
      <c r="L861" s="127"/>
    </row>
    <row r="862">
      <c r="A862" s="121"/>
      <c r="B862" s="122"/>
      <c r="D862" s="123"/>
      <c r="E862" s="123"/>
      <c r="F862" s="125"/>
      <c r="G862" s="125"/>
      <c r="I862" s="476"/>
      <c r="J862" s="402"/>
      <c r="K862" s="477"/>
      <c r="L862" s="127"/>
    </row>
    <row r="863">
      <c r="A863" s="121"/>
      <c r="B863" s="122"/>
      <c r="D863" s="123"/>
      <c r="E863" s="123"/>
      <c r="F863" s="125"/>
      <c r="G863" s="125"/>
      <c r="I863" s="476"/>
      <c r="J863" s="402"/>
      <c r="K863" s="477"/>
      <c r="L863" s="127"/>
    </row>
    <row r="864">
      <c r="A864" s="121"/>
      <c r="B864" s="122"/>
      <c r="D864" s="123"/>
      <c r="E864" s="123"/>
      <c r="F864" s="125"/>
      <c r="G864" s="125"/>
      <c r="I864" s="476"/>
      <c r="J864" s="402"/>
      <c r="K864" s="477"/>
      <c r="L864" s="127"/>
    </row>
    <row r="865">
      <c r="A865" s="121"/>
      <c r="B865" s="122"/>
      <c r="D865" s="123"/>
      <c r="E865" s="123"/>
      <c r="F865" s="125"/>
      <c r="G865" s="125"/>
      <c r="I865" s="476"/>
      <c r="J865" s="402"/>
      <c r="K865" s="477"/>
      <c r="L865" s="127"/>
    </row>
    <row r="866">
      <c r="A866" s="121"/>
      <c r="B866" s="122"/>
      <c r="D866" s="123"/>
      <c r="E866" s="123"/>
      <c r="F866" s="125"/>
      <c r="G866" s="125"/>
      <c r="I866" s="476"/>
      <c r="J866" s="402"/>
      <c r="K866" s="477"/>
      <c r="L866" s="127"/>
    </row>
    <row r="867">
      <c r="A867" s="121"/>
      <c r="B867" s="122"/>
      <c r="D867" s="123"/>
      <c r="E867" s="123"/>
      <c r="F867" s="125"/>
      <c r="G867" s="125"/>
      <c r="I867" s="476"/>
      <c r="J867" s="402"/>
      <c r="K867" s="477"/>
      <c r="L867" s="127"/>
    </row>
    <row r="868">
      <c r="A868" s="121"/>
      <c r="B868" s="122"/>
      <c r="D868" s="123"/>
      <c r="E868" s="123"/>
      <c r="F868" s="125"/>
      <c r="G868" s="125"/>
      <c r="I868" s="476"/>
      <c r="J868" s="402"/>
      <c r="K868" s="477"/>
      <c r="L868" s="127"/>
    </row>
    <row r="869">
      <c r="A869" s="121"/>
      <c r="B869" s="122"/>
      <c r="D869" s="123"/>
      <c r="E869" s="123"/>
      <c r="F869" s="125"/>
      <c r="G869" s="125"/>
      <c r="I869" s="476"/>
      <c r="J869" s="402"/>
      <c r="K869" s="477"/>
      <c r="L869" s="127"/>
    </row>
    <row r="870">
      <c r="A870" s="121"/>
      <c r="B870" s="122"/>
      <c r="D870" s="123"/>
      <c r="E870" s="123"/>
      <c r="F870" s="125"/>
      <c r="G870" s="125"/>
      <c r="I870" s="476"/>
      <c r="J870" s="402"/>
      <c r="K870" s="477"/>
      <c r="L870" s="127"/>
    </row>
    <row r="871">
      <c r="A871" s="121"/>
      <c r="B871" s="122"/>
      <c r="D871" s="123"/>
      <c r="E871" s="123"/>
      <c r="F871" s="125"/>
      <c r="G871" s="125"/>
      <c r="I871" s="476"/>
      <c r="J871" s="402"/>
      <c r="K871" s="477"/>
      <c r="L871" s="127"/>
    </row>
    <row r="872">
      <c r="A872" s="121"/>
      <c r="B872" s="122"/>
      <c r="D872" s="123"/>
      <c r="E872" s="123"/>
      <c r="F872" s="125"/>
      <c r="G872" s="125"/>
      <c r="I872" s="476"/>
      <c r="J872" s="402"/>
      <c r="K872" s="477"/>
      <c r="L872" s="127"/>
    </row>
    <row r="873">
      <c r="A873" s="121"/>
      <c r="B873" s="122"/>
      <c r="D873" s="123"/>
      <c r="E873" s="123"/>
      <c r="F873" s="125"/>
      <c r="G873" s="125"/>
      <c r="I873" s="476"/>
      <c r="J873" s="402"/>
      <c r="K873" s="477"/>
      <c r="L873" s="127"/>
    </row>
    <row r="874">
      <c r="A874" s="121"/>
      <c r="B874" s="122"/>
      <c r="D874" s="123"/>
      <c r="E874" s="123"/>
      <c r="F874" s="125"/>
      <c r="G874" s="125"/>
      <c r="I874" s="476"/>
      <c r="J874" s="402"/>
      <c r="K874" s="477"/>
      <c r="L874" s="127"/>
    </row>
    <row r="875">
      <c r="A875" s="121"/>
      <c r="B875" s="122"/>
      <c r="D875" s="123"/>
      <c r="E875" s="123"/>
      <c r="F875" s="125"/>
      <c r="G875" s="125"/>
      <c r="I875" s="476"/>
      <c r="J875" s="402"/>
      <c r="K875" s="477"/>
      <c r="L875" s="127"/>
    </row>
    <row r="876">
      <c r="A876" s="121"/>
      <c r="B876" s="122"/>
      <c r="D876" s="123"/>
      <c r="E876" s="123"/>
      <c r="F876" s="125"/>
      <c r="G876" s="125"/>
      <c r="I876" s="476"/>
      <c r="J876" s="402"/>
      <c r="K876" s="477"/>
      <c r="L876" s="127"/>
    </row>
    <row r="877">
      <c r="A877" s="121"/>
      <c r="B877" s="122"/>
      <c r="D877" s="123"/>
      <c r="E877" s="123"/>
      <c r="F877" s="125"/>
      <c r="G877" s="125"/>
      <c r="I877" s="476"/>
      <c r="J877" s="402"/>
      <c r="K877" s="477"/>
      <c r="L877" s="127"/>
    </row>
    <row r="878">
      <c r="A878" s="121"/>
      <c r="B878" s="122"/>
      <c r="D878" s="123"/>
      <c r="E878" s="123"/>
      <c r="F878" s="125"/>
      <c r="G878" s="125"/>
      <c r="I878" s="476"/>
      <c r="J878" s="402"/>
      <c r="K878" s="477"/>
      <c r="L878" s="127"/>
    </row>
    <row r="879">
      <c r="A879" s="121"/>
      <c r="B879" s="122"/>
      <c r="D879" s="123"/>
      <c r="E879" s="123"/>
      <c r="F879" s="125"/>
      <c r="G879" s="125"/>
      <c r="I879" s="476"/>
      <c r="J879" s="402"/>
      <c r="K879" s="477"/>
      <c r="L879" s="127"/>
    </row>
    <row r="880">
      <c r="A880" s="121"/>
      <c r="B880" s="122"/>
      <c r="D880" s="123"/>
      <c r="E880" s="123"/>
      <c r="F880" s="125"/>
      <c r="G880" s="125"/>
      <c r="I880" s="476"/>
      <c r="J880" s="402"/>
      <c r="K880" s="477"/>
      <c r="L880" s="127"/>
    </row>
    <row r="881">
      <c r="A881" s="121"/>
      <c r="B881" s="122"/>
      <c r="D881" s="123"/>
      <c r="E881" s="123"/>
      <c r="F881" s="125"/>
      <c r="G881" s="125"/>
      <c r="I881" s="476"/>
      <c r="J881" s="402"/>
      <c r="K881" s="477"/>
      <c r="L881" s="127"/>
    </row>
    <row r="882">
      <c r="A882" s="121"/>
      <c r="B882" s="122"/>
      <c r="D882" s="123"/>
      <c r="E882" s="123"/>
      <c r="F882" s="125"/>
      <c r="G882" s="125"/>
      <c r="I882" s="476"/>
      <c r="J882" s="402"/>
      <c r="K882" s="477"/>
      <c r="L882" s="127"/>
    </row>
    <row r="883">
      <c r="A883" s="121"/>
      <c r="B883" s="122"/>
      <c r="D883" s="123"/>
      <c r="E883" s="123"/>
      <c r="F883" s="125"/>
      <c r="G883" s="125"/>
      <c r="I883" s="476"/>
      <c r="J883" s="402"/>
      <c r="K883" s="477"/>
      <c r="L883" s="127"/>
    </row>
    <row r="884">
      <c r="A884" s="121"/>
      <c r="B884" s="122"/>
      <c r="D884" s="123"/>
      <c r="E884" s="123"/>
      <c r="F884" s="125"/>
      <c r="G884" s="125"/>
      <c r="I884" s="476"/>
      <c r="J884" s="402"/>
      <c r="K884" s="477"/>
      <c r="L884" s="127"/>
    </row>
    <row r="885">
      <c r="A885" s="121"/>
      <c r="B885" s="122"/>
      <c r="D885" s="123"/>
      <c r="E885" s="123"/>
      <c r="F885" s="125"/>
      <c r="G885" s="125"/>
      <c r="I885" s="476"/>
      <c r="J885" s="402"/>
      <c r="K885" s="477"/>
      <c r="L885" s="127"/>
    </row>
    <row r="886">
      <c r="A886" s="121"/>
      <c r="B886" s="122"/>
      <c r="D886" s="123"/>
      <c r="E886" s="123"/>
      <c r="F886" s="125"/>
      <c r="G886" s="125"/>
      <c r="I886" s="476"/>
      <c r="J886" s="402"/>
      <c r="K886" s="477"/>
      <c r="L886" s="127"/>
    </row>
    <row r="887">
      <c r="A887" s="121"/>
      <c r="B887" s="122"/>
      <c r="D887" s="123"/>
      <c r="E887" s="123"/>
      <c r="F887" s="125"/>
      <c r="G887" s="125"/>
      <c r="I887" s="476"/>
      <c r="J887" s="402"/>
      <c r="K887" s="477"/>
      <c r="L887" s="127"/>
    </row>
    <row r="888">
      <c r="A888" s="121"/>
      <c r="B888" s="122"/>
      <c r="D888" s="123"/>
      <c r="E888" s="123"/>
      <c r="F888" s="125"/>
      <c r="G888" s="125"/>
      <c r="I888" s="476"/>
      <c r="J888" s="402"/>
      <c r="K888" s="477"/>
      <c r="L888" s="127"/>
    </row>
    <row r="889">
      <c r="A889" s="121"/>
      <c r="B889" s="122"/>
      <c r="D889" s="123"/>
      <c r="E889" s="123"/>
      <c r="F889" s="125"/>
      <c r="G889" s="125"/>
      <c r="I889" s="476"/>
      <c r="J889" s="402"/>
      <c r="K889" s="477"/>
      <c r="L889" s="127"/>
    </row>
    <row r="890">
      <c r="A890" s="121"/>
      <c r="B890" s="122"/>
      <c r="D890" s="123"/>
      <c r="E890" s="123"/>
      <c r="F890" s="125"/>
      <c r="G890" s="125"/>
      <c r="I890" s="476"/>
      <c r="J890" s="402"/>
      <c r="K890" s="477"/>
      <c r="L890" s="127"/>
    </row>
    <row r="891">
      <c r="A891" s="121"/>
      <c r="B891" s="122"/>
      <c r="D891" s="123"/>
      <c r="E891" s="123"/>
      <c r="F891" s="125"/>
      <c r="G891" s="125"/>
      <c r="I891" s="476"/>
      <c r="J891" s="402"/>
      <c r="K891" s="477"/>
      <c r="L891" s="127"/>
    </row>
    <row r="892">
      <c r="A892" s="121"/>
      <c r="B892" s="122"/>
      <c r="D892" s="123"/>
      <c r="E892" s="123"/>
      <c r="F892" s="125"/>
      <c r="G892" s="125"/>
      <c r="I892" s="476"/>
      <c r="J892" s="402"/>
      <c r="K892" s="477"/>
      <c r="L892" s="127"/>
    </row>
    <row r="893">
      <c r="A893" s="121"/>
      <c r="B893" s="122"/>
      <c r="D893" s="123"/>
      <c r="E893" s="123"/>
      <c r="F893" s="125"/>
      <c r="G893" s="125"/>
      <c r="I893" s="476"/>
      <c r="J893" s="402"/>
      <c r="K893" s="477"/>
      <c r="L893" s="127"/>
    </row>
    <row r="894">
      <c r="A894" s="121"/>
      <c r="B894" s="122"/>
      <c r="D894" s="123"/>
      <c r="E894" s="123"/>
      <c r="F894" s="125"/>
      <c r="G894" s="125"/>
      <c r="I894" s="476"/>
      <c r="J894" s="402"/>
      <c r="K894" s="477"/>
      <c r="L894" s="127"/>
    </row>
    <row r="895">
      <c r="A895" s="121"/>
      <c r="B895" s="122"/>
      <c r="D895" s="123"/>
      <c r="E895" s="123"/>
      <c r="F895" s="125"/>
      <c r="G895" s="125"/>
      <c r="I895" s="476"/>
      <c r="J895" s="402"/>
      <c r="K895" s="477"/>
      <c r="L895" s="127"/>
    </row>
    <row r="896">
      <c r="A896" s="121"/>
      <c r="B896" s="122"/>
      <c r="D896" s="123"/>
      <c r="E896" s="123"/>
      <c r="F896" s="125"/>
      <c r="G896" s="125"/>
      <c r="I896" s="476"/>
      <c r="J896" s="402"/>
      <c r="K896" s="477"/>
      <c r="L896" s="127"/>
    </row>
    <row r="897">
      <c r="A897" s="121"/>
      <c r="B897" s="122"/>
      <c r="D897" s="123"/>
      <c r="E897" s="123"/>
      <c r="F897" s="125"/>
      <c r="G897" s="125"/>
      <c r="I897" s="476"/>
      <c r="J897" s="402"/>
      <c r="K897" s="477"/>
      <c r="L897" s="127"/>
    </row>
    <row r="898">
      <c r="A898" s="121"/>
      <c r="B898" s="122"/>
      <c r="D898" s="123"/>
      <c r="E898" s="123"/>
      <c r="F898" s="125"/>
      <c r="G898" s="125"/>
      <c r="I898" s="476"/>
      <c r="J898" s="402"/>
      <c r="K898" s="477"/>
      <c r="L898" s="127"/>
    </row>
    <row r="899">
      <c r="A899" s="121"/>
      <c r="B899" s="122"/>
      <c r="D899" s="123"/>
      <c r="E899" s="123"/>
      <c r="F899" s="125"/>
      <c r="G899" s="125"/>
      <c r="I899" s="476"/>
      <c r="J899" s="402"/>
      <c r="K899" s="477"/>
      <c r="L899" s="127"/>
    </row>
    <row r="900">
      <c r="A900" s="121"/>
      <c r="B900" s="122"/>
      <c r="D900" s="123"/>
      <c r="E900" s="123"/>
      <c r="F900" s="125"/>
      <c r="G900" s="125"/>
      <c r="I900" s="476"/>
      <c r="J900" s="402"/>
      <c r="K900" s="477"/>
      <c r="L900" s="127"/>
    </row>
    <row r="901">
      <c r="A901" s="121"/>
      <c r="B901" s="122"/>
      <c r="D901" s="123"/>
      <c r="E901" s="123"/>
      <c r="F901" s="125"/>
      <c r="G901" s="125"/>
      <c r="I901" s="476"/>
      <c r="J901" s="402"/>
      <c r="K901" s="477"/>
      <c r="L901" s="127"/>
    </row>
    <row r="902">
      <c r="A902" s="121"/>
      <c r="B902" s="122"/>
      <c r="D902" s="123"/>
      <c r="E902" s="123"/>
      <c r="F902" s="125"/>
      <c r="G902" s="125"/>
      <c r="I902" s="476"/>
      <c r="J902" s="402"/>
      <c r="K902" s="477"/>
      <c r="L902" s="127"/>
    </row>
    <row r="903">
      <c r="A903" s="121"/>
      <c r="B903" s="122"/>
      <c r="D903" s="123"/>
      <c r="E903" s="123"/>
      <c r="F903" s="125"/>
      <c r="G903" s="125"/>
      <c r="I903" s="476"/>
      <c r="J903" s="402"/>
      <c r="K903" s="477"/>
      <c r="L903" s="127"/>
    </row>
    <row r="904">
      <c r="A904" s="121"/>
      <c r="B904" s="122"/>
      <c r="D904" s="123"/>
      <c r="E904" s="123"/>
      <c r="F904" s="125"/>
      <c r="G904" s="125"/>
      <c r="I904" s="476"/>
      <c r="J904" s="402"/>
      <c r="K904" s="477"/>
      <c r="L904" s="127"/>
    </row>
    <row r="905">
      <c r="A905" s="121"/>
      <c r="B905" s="122"/>
      <c r="D905" s="123"/>
      <c r="E905" s="123"/>
      <c r="F905" s="125"/>
      <c r="G905" s="125"/>
      <c r="I905" s="476"/>
      <c r="J905" s="402"/>
      <c r="K905" s="477"/>
      <c r="L905" s="127"/>
    </row>
    <row r="906">
      <c r="A906" s="121"/>
      <c r="B906" s="122"/>
      <c r="D906" s="123"/>
      <c r="E906" s="123"/>
      <c r="F906" s="125"/>
      <c r="G906" s="125"/>
      <c r="I906" s="476"/>
      <c r="J906" s="402"/>
      <c r="K906" s="477"/>
      <c r="L906" s="127"/>
    </row>
    <row r="907">
      <c r="A907" s="121"/>
      <c r="B907" s="122"/>
      <c r="D907" s="123"/>
      <c r="E907" s="123"/>
      <c r="F907" s="125"/>
      <c r="G907" s="125"/>
      <c r="I907" s="476"/>
      <c r="J907" s="402"/>
      <c r="K907" s="477"/>
      <c r="L907" s="127"/>
    </row>
    <row r="908">
      <c r="A908" s="121"/>
      <c r="B908" s="122"/>
      <c r="D908" s="123"/>
      <c r="E908" s="123"/>
      <c r="F908" s="125"/>
      <c r="G908" s="125"/>
      <c r="I908" s="476"/>
      <c r="J908" s="402"/>
      <c r="K908" s="477"/>
      <c r="L908" s="127"/>
    </row>
    <row r="909">
      <c r="A909" s="121"/>
      <c r="B909" s="122"/>
      <c r="D909" s="123"/>
      <c r="E909" s="123"/>
      <c r="F909" s="125"/>
      <c r="G909" s="125"/>
      <c r="I909" s="476"/>
      <c r="J909" s="402"/>
      <c r="K909" s="477"/>
      <c r="L909" s="127"/>
    </row>
    <row r="910">
      <c r="A910" s="121"/>
      <c r="B910" s="122"/>
      <c r="D910" s="123"/>
      <c r="E910" s="123"/>
      <c r="F910" s="125"/>
      <c r="G910" s="125"/>
      <c r="I910" s="476"/>
      <c r="J910" s="402"/>
      <c r="K910" s="477"/>
      <c r="L910" s="127"/>
    </row>
    <row r="911">
      <c r="A911" s="121"/>
      <c r="B911" s="122"/>
      <c r="D911" s="123"/>
      <c r="E911" s="123"/>
      <c r="F911" s="125"/>
      <c r="G911" s="125"/>
      <c r="I911" s="476"/>
      <c r="J911" s="402"/>
      <c r="K911" s="477"/>
      <c r="L911" s="127"/>
    </row>
    <row r="912">
      <c r="A912" s="121"/>
      <c r="B912" s="122"/>
      <c r="D912" s="123"/>
      <c r="E912" s="123"/>
      <c r="F912" s="125"/>
      <c r="G912" s="125"/>
      <c r="I912" s="476"/>
      <c r="J912" s="402"/>
      <c r="K912" s="477"/>
      <c r="L912" s="127"/>
    </row>
    <row r="913">
      <c r="A913" s="121"/>
      <c r="B913" s="122"/>
      <c r="D913" s="123"/>
      <c r="E913" s="123"/>
      <c r="F913" s="125"/>
      <c r="G913" s="125"/>
      <c r="I913" s="476"/>
      <c r="J913" s="402"/>
      <c r="K913" s="477"/>
      <c r="L913" s="127"/>
    </row>
    <row r="914">
      <c r="A914" s="121"/>
      <c r="B914" s="122"/>
      <c r="D914" s="123"/>
      <c r="E914" s="123"/>
      <c r="F914" s="125"/>
      <c r="G914" s="125"/>
      <c r="I914" s="476"/>
      <c r="J914" s="402"/>
      <c r="K914" s="477"/>
      <c r="L914" s="127"/>
    </row>
    <row r="915">
      <c r="A915" s="121"/>
      <c r="B915" s="122"/>
      <c r="D915" s="123"/>
      <c r="E915" s="123"/>
      <c r="F915" s="125"/>
      <c r="G915" s="125"/>
      <c r="I915" s="476"/>
      <c r="J915" s="402"/>
      <c r="K915" s="477"/>
      <c r="L915" s="127"/>
    </row>
    <row r="916">
      <c r="A916" s="121"/>
      <c r="B916" s="122"/>
      <c r="D916" s="123"/>
      <c r="E916" s="123"/>
      <c r="F916" s="125"/>
      <c r="G916" s="125"/>
      <c r="I916" s="476"/>
      <c r="J916" s="402"/>
      <c r="K916" s="477"/>
      <c r="L916" s="127"/>
    </row>
    <row r="917">
      <c r="A917" s="121"/>
      <c r="B917" s="122"/>
      <c r="D917" s="123"/>
      <c r="E917" s="123"/>
      <c r="F917" s="125"/>
      <c r="G917" s="125"/>
      <c r="I917" s="476"/>
      <c r="J917" s="402"/>
      <c r="K917" s="477"/>
      <c r="L917" s="127"/>
    </row>
    <row r="918">
      <c r="A918" s="121"/>
      <c r="B918" s="122"/>
      <c r="D918" s="123"/>
      <c r="E918" s="123"/>
      <c r="F918" s="125"/>
      <c r="G918" s="125"/>
      <c r="I918" s="476"/>
      <c r="J918" s="402"/>
      <c r="K918" s="477"/>
      <c r="L918" s="127"/>
    </row>
    <row r="919">
      <c r="A919" s="121"/>
      <c r="B919" s="122"/>
      <c r="D919" s="123"/>
      <c r="E919" s="123"/>
      <c r="F919" s="125"/>
      <c r="G919" s="125"/>
      <c r="I919" s="476"/>
      <c r="J919" s="402"/>
      <c r="K919" s="477"/>
      <c r="L919" s="127"/>
    </row>
    <row r="920">
      <c r="A920" s="121"/>
      <c r="B920" s="122"/>
      <c r="D920" s="123"/>
      <c r="E920" s="123"/>
      <c r="F920" s="125"/>
      <c r="G920" s="125"/>
      <c r="I920" s="476"/>
      <c r="J920" s="402"/>
      <c r="K920" s="477"/>
      <c r="L920" s="127"/>
    </row>
    <row r="921">
      <c r="A921" s="121"/>
      <c r="B921" s="122"/>
      <c r="D921" s="123"/>
      <c r="E921" s="123"/>
      <c r="F921" s="125"/>
      <c r="G921" s="125"/>
      <c r="I921" s="476"/>
      <c r="J921" s="402"/>
      <c r="K921" s="477"/>
      <c r="L921" s="127"/>
    </row>
    <row r="922">
      <c r="A922" s="121"/>
      <c r="B922" s="122"/>
      <c r="D922" s="123"/>
      <c r="E922" s="123"/>
      <c r="F922" s="125"/>
      <c r="G922" s="125"/>
      <c r="I922" s="476"/>
      <c r="J922" s="402"/>
      <c r="K922" s="477"/>
      <c r="L922" s="127"/>
    </row>
    <row r="923">
      <c r="A923" s="121"/>
      <c r="B923" s="122"/>
      <c r="D923" s="123"/>
      <c r="E923" s="123"/>
      <c r="F923" s="125"/>
      <c r="G923" s="125"/>
      <c r="I923" s="476"/>
      <c r="J923" s="402"/>
      <c r="K923" s="477"/>
      <c r="L923" s="127"/>
    </row>
    <row r="924">
      <c r="A924" s="121"/>
      <c r="B924" s="122"/>
      <c r="D924" s="123"/>
      <c r="E924" s="123"/>
      <c r="F924" s="125"/>
      <c r="G924" s="125"/>
      <c r="I924" s="476"/>
      <c r="J924" s="402"/>
      <c r="K924" s="477"/>
      <c r="L924" s="127"/>
    </row>
    <row r="925">
      <c r="A925" s="121"/>
      <c r="B925" s="122"/>
      <c r="D925" s="123"/>
      <c r="E925" s="123"/>
      <c r="F925" s="125"/>
      <c r="G925" s="125"/>
      <c r="I925" s="476"/>
      <c r="J925" s="402"/>
      <c r="K925" s="477"/>
      <c r="L925" s="127"/>
    </row>
    <row r="926">
      <c r="A926" s="121"/>
      <c r="B926" s="122"/>
      <c r="D926" s="123"/>
      <c r="E926" s="123"/>
      <c r="F926" s="125"/>
      <c r="G926" s="125"/>
      <c r="I926" s="476"/>
      <c r="J926" s="402"/>
      <c r="K926" s="477"/>
      <c r="L926" s="127"/>
    </row>
    <row r="927">
      <c r="A927" s="121"/>
      <c r="B927" s="122"/>
      <c r="D927" s="123"/>
      <c r="E927" s="123"/>
      <c r="F927" s="125"/>
      <c r="G927" s="125"/>
      <c r="I927" s="476"/>
      <c r="J927" s="402"/>
      <c r="K927" s="477"/>
      <c r="L927" s="127"/>
    </row>
    <row r="928">
      <c r="A928" s="121"/>
      <c r="B928" s="122"/>
      <c r="D928" s="123"/>
      <c r="E928" s="123"/>
      <c r="F928" s="125"/>
      <c r="G928" s="125"/>
      <c r="I928" s="476"/>
      <c r="J928" s="402"/>
      <c r="K928" s="477"/>
      <c r="L928" s="127"/>
    </row>
    <row r="929">
      <c r="A929" s="121"/>
      <c r="B929" s="122"/>
      <c r="D929" s="123"/>
      <c r="E929" s="123"/>
      <c r="F929" s="125"/>
      <c r="G929" s="125"/>
      <c r="I929" s="476"/>
      <c r="J929" s="402"/>
      <c r="K929" s="477"/>
      <c r="L929" s="127"/>
    </row>
    <row r="930">
      <c r="A930" s="121"/>
      <c r="B930" s="122"/>
      <c r="D930" s="123"/>
      <c r="E930" s="123"/>
      <c r="F930" s="125"/>
      <c r="G930" s="125"/>
      <c r="I930" s="476"/>
      <c r="J930" s="402"/>
      <c r="K930" s="477"/>
      <c r="L930" s="127"/>
    </row>
    <row r="931">
      <c r="A931" s="121"/>
      <c r="B931" s="122"/>
      <c r="D931" s="123"/>
      <c r="E931" s="123"/>
      <c r="F931" s="125"/>
      <c r="G931" s="125"/>
      <c r="I931" s="476"/>
      <c r="J931" s="402"/>
      <c r="K931" s="477"/>
      <c r="L931" s="127"/>
    </row>
    <row r="932">
      <c r="A932" s="121"/>
      <c r="B932" s="122"/>
      <c r="D932" s="123"/>
      <c r="E932" s="123"/>
      <c r="F932" s="125"/>
      <c r="G932" s="125"/>
      <c r="I932" s="476"/>
      <c r="J932" s="402"/>
      <c r="K932" s="477"/>
      <c r="L932" s="127"/>
    </row>
    <row r="933">
      <c r="A933" s="121"/>
      <c r="B933" s="122"/>
      <c r="D933" s="123"/>
      <c r="E933" s="123"/>
      <c r="F933" s="125"/>
      <c r="G933" s="125"/>
      <c r="I933" s="476"/>
      <c r="J933" s="402"/>
      <c r="K933" s="477"/>
      <c r="L933" s="127"/>
    </row>
    <row r="934">
      <c r="A934" s="121"/>
      <c r="B934" s="122"/>
      <c r="D934" s="123"/>
      <c r="E934" s="123"/>
      <c r="F934" s="125"/>
      <c r="G934" s="125"/>
      <c r="I934" s="476"/>
      <c r="J934" s="402"/>
      <c r="K934" s="477"/>
      <c r="L934" s="127"/>
    </row>
    <row r="935">
      <c r="A935" s="121"/>
      <c r="B935" s="122"/>
      <c r="D935" s="123"/>
      <c r="E935" s="123"/>
      <c r="F935" s="125"/>
      <c r="G935" s="125"/>
      <c r="I935" s="476"/>
      <c r="J935" s="402"/>
      <c r="K935" s="477"/>
      <c r="L935" s="127"/>
    </row>
    <row r="936">
      <c r="A936" s="121"/>
      <c r="B936" s="122"/>
      <c r="D936" s="123"/>
      <c r="E936" s="123"/>
      <c r="F936" s="125"/>
      <c r="G936" s="125"/>
      <c r="I936" s="476"/>
      <c r="J936" s="402"/>
      <c r="K936" s="477"/>
      <c r="L936" s="127"/>
    </row>
    <row r="937">
      <c r="A937" s="121"/>
      <c r="B937" s="122"/>
      <c r="D937" s="123"/>
      <c r="E937" s="123"/>
      <c r="F937" s="125"/>
      <c r="G937" s="125"/>
      <c r="I937" s="476"/>
      <c r="J937" s="402"/>
      <c r="K937" s="477"/>
      <c r="L937" s="127"/>
    </row>
    <row r="938">
      <c r="A938" s="121"/>
      <c r="B938" s="122"/>
      <c r="D938" s="123"/>
      <c r="E938" s="123"/>
      <c r="F938" s="125"/>
      <c r="G938" s="125"/>
      <c r="I938" s="476"/>
      <c r="J938" s="402"/>
      <c r="K938" s="477"/>
      <c r="L938" s="127"/>
    </row>
    <row r="939">
      <c r="A939" s="121"/>
      <c r="B939" s="122"/>
      <c r="D939" s="123"/>
      <c r="E939" s="123"/>
      <c r="F939" s="125"/>
      <c r="G939" s="125"/>
      <c r="I939" s="476"/>
      <c r="J939" s="402"/>
      <c r="K939" s="477"/>
      <c r="L939" s="127"/>
    </row>
    <row r="940">
      <c r="A940" s="121"/>
      <c r="B940" s="122"/>
      <c r="D940" s="123"/>
      <c r="E940" s="123"/>
      <c r="F940" s="125"/>
      <c r="G940" s="125"/>
      <c r="I940" s="476"/>
      <c r="J940" s="402"/>
      <c r="K940" s="477"/>
      <c r="L940" s="127"/>
    </row>
    <row r="941">
      <c r="A941" s="121"/>
      <c r="B941" s="122"/>
      <c r="D941" s="123"/>
      <c r="E941" s="123"/>
      <c r="F941" s="125"/>
      <c r="G941" s="125"/>
      <c r="I941" s="476"/>
      <c r="J941" s="402"/>
      <c r="K941" s="477"/>
      <c r="L941" s="127"/>
    </row>
    <row r="942">
      <c r="A942" s="121"/>
      <c r="B942" s="122"/>
      <c r="D942" s="123"/>
      <c r="E942" s="123"/>
      <c r="F942" s="125"/>
      <c r="G942" s="125"/>
      <c r="I942" s="476"/>
      <c r="J942" s="402"/>
      <c r="K942" s="477"/>
      <c r="L942" s="127"/>
    </row>
    <row r="943">
      <c r="A943" s="121"/>
      <c r="B943" s="122"/>
      <c r="D943" s="123"/>
      <c r="E943" s="123"/>
      <c r="F943" s="125"/>
      <c r="G943" s="125"/>
      <c r="I943" s="476"/>
      <c r="J943" s="402"/>
      <c r="K943" s="477"/>
      <c r="L943" s="127"/>
    </row>
    <row r="944">
      <c r="A944" s="121"/>
      <c r="B944" s="122"/>
      <c r="D944" s="123"/>
      <c r="E944" s="123"/>
      <c r="F944" s="125"/>
      <c r="G944" s="125"/>
      <c r="I944" s="476"/>
      <c r="J944" s="402"/>
      <c r="K944" s="477"/>
      <c r="L944" s="127"/>
    </row>
    <row r="945">
      <c r="A945" s="121"/>
      <c r="B945" s="122"/>
      <c r="D945" s="123"/>
      <c r="E945" s="123"/>
      <c r="F945" s="125"/>
      <c r="G945" s="125"/>
      <c r="I945" s="476"/>
      <c r="J945" s="402"/>
      <c r="K945" s="477"/>
      <c r="L945" s="127"/>
    </row>
    <row r="946">
      <c r="A946" s="121"/>
      <c r="B946" s="122"/>
      <c r="D946" s="123"/>
      <c r="E946" s="123"/>
      <c r="F946" s="125"/>
      <c r="G946" s="125"/>
      <c r="I946" s="476"/>
      <c r="J946" s="402"/>
      <c r="K946" s="477"/>
      <c r="L946" s="127"/>
    </row>
    <row r="947">
      <c r="A947" s="121"/>
      <c r="B947" s="122"/>
      <c r="D947" s="123"/>
      <c r="E947" s="123"/>
      <c r="F947" s="125"/>
      <c r="G947" s="125"/>
      <c r="I947" s="476"/>
      <c r="J947" s="402"/>
      <c r="K947" s="477"/>
      <c r="L947" s="127"/>
    </row>
    <row r="948">
      <c r="A948" s="121"/>
      <c r="B948" s="122"/>
      <c r="D948" s="123"/>
      <c r="E948" s="123"/>
      <c r="F948" s="125"/>
      <c r="G948" s="125"/>
      <c r="I948" s="476"/>
      <c r="J948" s="402"/>
      <c r="K948" s="477"/>
      <c r="L948" s="127"/>
    </row>
    <row r="949">
      <c r="A949" s="121"/>
      <c r="B949" s="122"/>
      <c r="D949" s="123"/>
      <c r="E949" s="123"/>
      <c r="F949" s="125"/>
      <c r="G949" s="125"/>
      <c r="I949" s="476"/>
      <c r="J949" s="402"/>
      <c r="K949" s="477"/>
      <c r="L949" s="127"/>
    </row>
    <row r="950">
      <c r="A950" s="121"/>
      <c r="B950" s="122"/>
      <c r="D950" s="123"/>
      <c r="E950" s="123"/>
      <c r="F950" s="125"/>
      <c r="G950" s="125"/>
      <c r="I950" s="476"/>
      <c r="J950" s="402"/>
      <c r="K950" s="477"/>
      <c r="L950" s="127"/>
    </row>
    <row r="951">
      <c r="A951" s="121"/>
      <c r="B951" s="122"/>
      <c r="D951" s="123"/>
      <c r="E951" s="123"/>
      <c r="F951" s="125"/>
      <c r="G951" s="125"/>
      <c r="I951" s="476"/>
      <c r="J951" s="402"/>
      <c r="K951" s="477"/>
      <c r="L951" s="127"/>
    </row>
    <row r="952">
      <c r="A952" s="121"/>
      <c r="B952" s="122"/>
      <c r="D952" s="123"/>
      <c r="E952" s="123"/>
      <c r="F952" s="125"/>
      <c r="G952" s="125"/>
      <c r="I952" s="476"/>
      <c r="J952" s="402"/>
      <c r="K952" s="477"/>
      <c r="L952" s="127"/>
    </row>
    <row r="953">
      <c r="A953" s="121"/>
      <c r="B953" s="122"/>
      <c r="D953" s="123"/>
      <c r="E953" s="123"/>
      <c r="F953" s="125"/>
      <c r="G953" s="125"/>
      <c r="I953" s="476"/>
      <c r="J953" s="402"/>
      <c r="K953" s="477"/>
      <c r="L953" s="127"/>
    </row>
    <row r="954">
      <c r="A954" s="121"/>
      <c r="B954" s="122"/>
      <c r="D954" s="123"/>
      <c r="E954" s="123"/>
      <c r="F954" s="125"/>
      <c r="G954" s="125"/>
      <c r="I954" s="476"/>
      <c r="J954" s="402"/>
      <c r="K954" s="477"/>
      <c r="L954" s="127"/>
    </row>
    <row r="955">
      <c r="A955" s="121"/>
      <c r="B955" s="122"/>
      <c r="D955" s="123"/>
      <c r="E955" s="123"/>
      <c r="F955" s="125"/>
      <c r="G955" s="125"/>
      <c r="I955" s="476"/>
      <c r="J955" s="402"/>
      <c r="K955" s="477"/>
      <c r="L955" s="127"/>
    </row>
    <row r="956">
      <c r="A956" s="121"/>
      <c r="B956" s="122"/>
      <c r="D956" s="123"/>
      <c r="E956" s="123"/>
      <c r="F956" s="125"/>
      <c r="G956" s="125"/>
      <c r="I956" s="476"/>
      <c r="J956" s="402"/>
      <c r="K956" s="477"/>
      <c r="L956" s="127"/>
    </row>
    <row r="957">
      <c r="A957" s="121"/>
      <c r="B957" s="122"/>
      <c r="D957" s="123"/>
      <c r="E957" s="123"/>
      <c r="F957" s="125"/>
      <c r="G957" s="125"/>
      <c r="I957" s="476"/>
      <c r="J957" s="402"/>
      <c r="K957" s="477"/>
      <c r="L957" s="127"/>
    </row>
    <row r="958">
      <c r="A958" s="121"/>
      <c r="B958" s="122"/>
      <c r="D958" s="123"/>
      <c r="E958" s="123"/>
      <c r="F958" s="125"/>
      <c r="G958" s="125"/>
      <c r="I958" s="476"/>
      <c r="J958" s="402"/>
      <c r="K958" s="477"/>
      <c r="L958" s="127"/>
    </row>
    <row r="959">
      <c r="A959" s="121"/>
      <c r="B959" s="122"/>
      <c r="D959" s="123"/>
      <c r="E959" s="123"/>
      <c r="F959" s="125"/>
      <c r="G959" s="125"/>
      <c r="I959" s="476"/>
      <c r="J959" s="402"/>
      <c r="K959" s="477"/>
      <c r="L959" s="127"/>
    </row>
    <row r="960">
      <c r="A960" s="121"/>
      <c r="B960" s="122"/>
      <c r="D960" s="123"/>
      <c r="E960" s="123"/>
      <c r="F960" s="125"/>
      <c r="G960" s="125"/>
      <c r="I960" s="476"/>
      <c r="J960" s="402"/>
      <c r="K960" s="477"/>
      <c r="L960" s="127"/>
    </row>
    <row r="961">
      <c r="A961" s="121"/>
      <c r="B961" s="122"/>
      <c r="D961" s="123"/>
      <c r="E961" s="123"/>
      <c r="F961" s="125"/>
      <c r="G961" s="125"/>
      <c r="I961" s="476"/>
      <c r="J961" s="402"/>
      <c r="K961" s="477"/>
      <c r="L961" s="127"/>
    </row>
    <row r="962">
      <c r="A962" s="121"/>
      <c r="B962" s="122"/>
      <c r="D962" s="123"/>
      <c r="E962" s="123"/>
      <c r="F962" s="125"/>
      <c r="G962" s="125"/>
      <c r="I962" s="476"/>
      <c r="J962" s="402"/>
      <c r="K962" s="477"/>
      <c r="L962" s="127"/>
    </row>
    <row r="963">
      <c r="A963" s="121"/>
      <c r="B963" s="122"/>
      <c r="D963" s="123"/>
      <c r="E963" s="123"/>
      <c r="F963" s="125"/>
      <c r="G963" s="125"/>
      <c r="I963" s="476"/>
      <c r="J963" s="402"/>
      <c r="K963" s="477"/>
      <c r="L963" s="127"/>
    </row>
    <row r="964">
      <c r="A964" s="121"/>
      <c r="B964" s="122"/>
      <c r="D964" s="123"/>
      <c r="E964" s="123"/>
      <c r="F964" s="125"/>
      <c r="G964" s="125"/>
      <c r="I964" s="476"/>
      <c r="J964" s="402"/>
      <c r="K964" s="477"/>
      <c r="L964" s="127"/>
    </row>
    <row r="965">
      <c r="A965" s="121"/>
      <c r="B965" s="122"/>
      <c r="D965" s="123"/>
      <c r="E965" s="123"/>
      <c r="F965" s="125"/>
      <c r="G965" s="125"/>
      <c r="I965" s="476"/>
      <c r="J965" s="402"/>
      <c r="K965" s="477"/>
      <c r="L965" s="127"/>
    </row>
    <row r="966">
      <c r="A966" s="121"/>
      <c r="B966" s="122"/>
      <c r="D966" s="123"/>
      <c r="E966" s="123"/>
      <c r="F966" s="125"/>
      <c r="G966" s="125"/>
      <c r="I966" s="476"/>
      <c r="J966" s="402"/>
      <c r="K966" s="477"/>
      <c r="L966" s="127"/>
    </row>
    <row r="967">
      <c r="A967" s="121"/>
      <c r="B967" s="122"/>
      <c r="D967" s="123"/>
      <c r="E967" s="123"/>
      <c r="F967" s="125"/>
      <c r="G967" s="125"/>
      <c r="I967" s="476"/>
      <c r="J967" s="402"/>
      <c r="K967" s="477"/>
      <c r="L967" s="127"/>
    </row>
    <row r="968">
      <c r="A968" s="121"/>
      <c r="B968" s="122"/>
      <c r="D968" s="123"/>
      <c r="E968" s="123"/>
      <c r="F968" s="125"/>
      <c r="G968" s="125"/>
      <c r="I968" s="476"/>
      <c r="J968" s="402"/>
      <c r="K968" s="477"/>
      <c r="L968" s="127"/>
    </row>
    <row r="969">
      <c r="A969" s="121"/>
      <c r="B969" s="122"/>
      <c r="D969" s="123"/>
      <c r="E969" s="123"/>
      <c r="F969" s="125"/>
      <c r="G969" s="125"/>
      <c r="I969" s="476"/>
      <c r="J969" s="402"/>
      <c r="K969" s="477"/>
      <c r="L969" s="127"/>
    </row>
    <row r="970">
      <c r="A970" s="121"/>
      <c r="B970" s="122"/>
      <c r="D970" s="123"/>
      <c r="E970" s="123"/>
      <c r="F970" s="125"/>
      <c r="G970" s="125"/>
      <c r="I970" s="476"/>
      <c r="J970" s="402"/>
      <c r="K970" s="477"/>
      <c r="L970" s="127"/>
    </row>
    <row r="971">
      <c r="A971" s="121"/>
      <c r="B971" s="122"/>
      <c r="D971" s="123"/>
      <c r="E971" s="123"/>
      <c r="F971" s="125"/>
      <c r="G971" s="125"/>
      <c r="I971" s="476"/>
      <c r="J971" s="402"/>
      <c r="K971" s="477"/>
      <c r="L971" s="127"/>
    </row>
    <row r="972">
      <c r="A972" s="121"/>
      <c r="B972" s="122"/>
      <c r="D972" s="123"/>
      <c r="E972" s="123"/>
      <c r="F972" s="125"/>
      <c r="G972" s="125"/>
      <c r="I972" s="476"/>
      <c r="J972" s="402"/>
      <c r="K972" s="477"/>
      <c r="L972" s="127"/>
    </row>
    <row r="973">
      <c r="A973" s="121"/>
      <c r="B973" s="122"/>
      <c r="D973" s="123"/>
      <c r="E973" s="123"/>
      <c r="F973" s="125"/>
      <c r="G973" s="125"/>
      <c r="I973" s="476"/>
      <c r="J973" s="402"/>
      <c r="K973" s="477"/>
      <c r="L973" s="127"/>
    </row>
    <row r="974">
      <c r="A974" s="121"/>
      <c r="B974" s="122"/>
      <c r="D974" s="123"/>
      <c r="E974" s="123"/>
      <c r="F974" s="125"/>
      <c r="G974" s="125"/>
      <c r="I974" s="476"/>
      <c r="J974" s="402"/>
      <c r="K974" s="477"/>
      <c r="L974" s="127"/>
    </row>
    <row r="975">
      <c r="A975" s="121"/>
      <c r="B975" s="122"/>
      <c r="D975" s="123"/>
      <c r="E975" s="123"/>
      <c r="F975" s="125"/>
      <c r="G975" s="125"/>
      <c r="I975" s="476"/>
      <c r="J975" s="402"/>
      <c r="K975" s="477"/>
      <c r="L975" s="127"/>
    </row>
    <row r="976">
      <c r="A976" s="121"/>
      <c r="B976" s="122"/>
      <c r="D976" s="123"/>
      <c r="E976" s="123"/>
      <c r="F976" s="125"/>
      <c r="G976" s="125"/>
      <c r="I976" s="476"/>
      <c r="J976" s="402"/>
      <c r="K976" s="477"/>
      <c r="L976" s="127"/>
    </row>
    <row r="977">
      <c r="A977" s="121"/>
      <c r="B977" s="122"/>
      <c r="D977" s="123"/>
      <c r="E977" s="123"/>
      <c r="F977" s="125"/>
      <c r="G977" s="125"/>
      <c r="I977" s="476"/>
      <c r="J977" s="402"/>
      <c r="K977" s="477"/>
      <c r="L977" s="127"/>
    </row>
    <row r="978">
      <c r="A978" s="121"/>
      <c r="B978" s="122"/>
      <c r="D978" s="123"/>
      <c r="E978" s="123"/>
      <c r="F978" s="125"/>
      <c r="G978" s="125"/>
      <c r="I978" s="476"/>
      <c r="J978" s="402"/>
      <c r="K978" s="477"/>
      <c r="L978" s="127"/>
    </row>
    <row r="979">
      <c r="A979" s="121"/>
      <c r="B979" s="122"/>
      <c r="D979" s="123"/>
      <c r="E979" s="123"/>
      <c r="F979" s="125"/>
      <c r="G979" s="125"/>
      <c r="I979" s="476"/>
      <c r="J979" s="402"/>
      <c r="K979" s="477"/>
      <c r="L979" s="127"/>
    </row>
    <row r="980">
      <c r="A980" s="121"/>
      <c r="B980" s="122"/>
      <c r="D980" s="123"/>
      <c r="E980" s="123"/>
      <c r="F980" s="125"/>
      <c r="G980" s="125"/>
      <c r="I980" s="476"/>
      <c r="J980" s="402"/>
      <c r="K980" s="477"/>
      <c r="L980" s="127"/>
    </row>
    <row r="981">
      <c r="A981" s="121"/>
      <c r="B981" s="122"/>
      <c r="D981" s="123"/>
      <c r="E981" s="123"/>
      <c r="F981" s="125"/>
      <c r="G981" s="125"/>
      <c r="I981" s="476"/>
      <c r="J981" s="402"/>
      <c r="K981" s="477"/>
      <c r="L981" s="127"/>
    </row>
    <row r="982">
      <c r="A982" s="121"/>
      <c r="B982" s="122"/>
      <c r="D982" s="123"/>
      <c r="E982" s="123"/>
      <c r="F982" s="125"/>
      <c r="G982" s="125"/>
      <c r="I982" s="476"/>
      <c r="J982" s="402"/>
      <c r="K982" s="477"/>
      <c r="L982" s="127"/>
    </row>
    <row r="983">
      <c r="A983" s="121"/>
      <c r="B983" s="122"/>
      <c r="D983" s="123"/>
      <c r="E983" s="123"/>
      <c r="F983" s="125"/>
      <c r="G983" s="125"/>
      <c r="I983" s="476"/>
      <c r="J983" s="402"/>
      <c r="K983" s="477"/>
      <c r="L983" s="127"/>
    </row>
    <row r="984">
      <c r="A984" s="121"/>
      <c r="B984" s="122"/>
      <c r="D984" s="123"/>
      <c r="E984" s="123"/>
      <c r="F984" s="125"/>
      <c r="G984" s="125"/>
      <c r="I984" s="476"/>
      <c r="J984" s="402"/>
      <c r="K984" s="477"/>
      <c r="L984" s="127"/>
    </row>
    <row r="985">
      <c r="A985" s="121"/>
      <c r="B985" s="122"/>
      <c r="D985" s="123"/>
      <c r="E985" s="123"/>
      <c r="F985" s="125"/>
      <c r="G985" s="125"/>
      <c r="I985" s="476"/>
      <c r="J985" s="402"/>
      <c r="K985" s="477"/>
      <c r="L985" s="127"/>
    </row>
    <row r="986">
      <c r="A986" s="121"/>
      <c r="B986" s="122"/>
      <c r="D986" s="123"/>
      <c r="E986" s="123"/>
      <c r="F986" s="125"/>
      <c r="G986" s="125"/>
      <c r="I986" s="476"/>
      <c r="J986" s="402"/>
      <c r="K986" s="477"/>
      <c r="L986" s="127"/>
    </row>
    <row r="987">
      <c r="A987" s="121"/>
      <c r="B987" s="122"/>
      <c r="D987" s="123"/>
      <c r="E987" s="123"/>
      <c r="F987" s="125"/>
      <c r="G987" s="125"/>
      <c r="I987" s="476"/>
      <c r="J987" s="402"/>
      <c r="K987" s="477"/>
      <c r="L987" s="127"/>
    </row>
    <row r="988">
      <c r="A988" s="121"/>
      <c r="B988" s="122"/>
      <c r="D988" s="123"/>
      <c r="E988" s="123"/>
      <c r="F988" s="125"/>
      <c r="G988" s="125"/>
      <c r="I988" s="476"/>
      <c r="J988" s="402"/>
      <c r="K988" s="477"/>
      <c r="L988" s="127"/>
    </row>
    <row r="989">
      <c r="A989" s="121"/>
      <c r="B989" s="122"/>
      <c r="D989" s="123"/>
      <c r="E989" s="123"/>
      <c r="F989" s="125"/>
      <c r="G989" s="125"/>
      <c r="I989" s="476"/>
      <c r="J989" s="402"/>
      <c r="K989" s="477"/>
      <c r="L989" s="127"/>
    </row>
    <row r="990">
      <c r="A990" s="121"/>
      <c r="B990" s="122"/>
      <c r="D990" s="123"/>
      <c r="E990" s="123"/>
      <c r="F990" s="125"/>
      <c r="G990" s="125"/>
      <c r="I990" s="476"/>
      <c r="J990" s="402"/>
      <c r="K990" s="477"/>
      <c r="L990" s="127"/>
    </row>
    <row r="991">
      <c r="A991" s="121"/>
      <c r="B991" s="122"/>
      <c r="D991" s="123"/>
      <c r="E991" s="123"/>
      <c r="F991" s="125"/>
      <c r="G991" s="125"/>
      <c r="I991" s="476"/>
      <c r="J991" s="402"/>
      <c r="K991" s="477"/>
      <c r="L991" s="127"/>
    </row>
    <row r="992">
      <c r="A992" s="121"/>
      <c r="B992" s="122"/>
      <c r="D992" s="123"/>
      <c r="E992" s="123"/>
      <c r="F992" s="125"/>
      <c r="G992" s="125"/>
      <c r="I992" s="476"/>
      <c r="J992" s="402"/>
      <c r="K992" s="477"/>
      <c r="L992" s="127"/>
    </row>
    <row r="993">
      <c r="A993" s="121"/>
      <c r="B993" s="122"/>
      <c r="D993" s="123"/>
      <c r="E993" s="123"/>
      <c r="F993" s="125"/>
      <c r="G993" s="125"/>
      <c r="I993" s="476"/>
      <c r="J993" s="402"/>
      <c r="K993" s="477"/>
      <c r="L993" s="127"/>
    </row>
    <row r="994">
      <c r="A994" s="121"/>
      <c r="B994" s="122"/>
      <c r="D994" s="123"/>
      <c r="E994" s="123"/>
      <c r="F994" s="125"/>
      <c r="G994" s="125"/>
      <c r="I994" s="476"/>
      <c r="J994" s="402"/>
      <c r="K994" s="477"/>
      <c r="L994" s="127"/>
    </row>
    <row r="995">
      <c r="A995" s="121"/>
      <c r="B995" s="122"/>
      <c r="D995" s="123"/>
      <c r="E995" s="123"/>
      <c r="F995" s="125"/>
      <c r="G995" s="125"/>
      <c r="I995" s="476"/>
      <c r="J995" s="402"/>
      <c r="K995" s="477"/>
      <c r="L995" s="127"/>
    </row>
    <row r="996">
      <c r="A996" s="121"/>
      <c r="B996" s="122"/>
      <c r="D996" s="123"/>
      <c r="E996" s="123"/>
      <c r="F996" s="125"/>
      <c r="G996" s="125"/>
      <c r="I996" s="476"/>
      <c r="J996" s="402"/>
      <c r="K996" s="477"/>
      <c r="L996" s="127"/>
    </row>
    <row r="997">
      <c r="A997" s="121"/>
      <c r="B997" s="122"/>
      <c r="D997" s="123"/>
      <c r="E997" s="123"/>
      <c r="F997" s="125"/>
      <c r="G997" s="125"/>
      <c r="I997" s="476"/>
      <c r="J997" s="402"/>
      <c r="K997" s="477"/>
      <c r="L997" s="127"/>
    </row>
    <row r="998">
      <c r="A998" s="121"/>
      <c r="B998" s="122"/>
      <c r="D998" s="123"/>
      <c r="E998" s="123"/>
      <c r="F998" s="125"/>
      <c r="G998" s="125"/>
      <c r="I998" s="476"/>
      <c r="J998" s="402"/>
      <c r="K998" s="477"/>
      <c r="L998" s="127"/>
    </row>
    <row r="999">
      <c r="A999" s="121"/>
      <c r="B999" s="122"/>
      <c r="D999" s="123"/>
      <c r="E999" s="123"/>
      <c r="F999" s="125"/>
      <c r="G999" s="125"/>
      <c r="I999" s="476"/>
      <c r="J999" s="402"/>
      <c r="K999" s="477"/>
      <c r="L999" s="127"/>
    </row>
    <row r="1000">
      <c r="A1000" s="121"/>
      <c r="B1000" s="122"/>
      <c r="D1000" s="123"/>
      <c r="E1000" s="123"/>
      <c r="F1000" s="125"/>
      <c r="G1000" s="125"/>
      <c r="I1000" s="476"/>
      <c r="J1000" s="402"/>
      <c r="K1000" s="477"/>
      <c r="L1000" s="127"/>
    </row>
  </sheetData>
  <autoFilter ref="$A$4:$K$19"/>
  <customSheetViews>
    <customSheetView guid="{AE12009C-ACD1-4246-A326-D573D205DE1C}" filter="1" showAutoFilter="1">
      <autoFilter ref="$B$1:$L$1"/>
    </customSheetView>
  </customSheetViews>
  <mergeCells count="10">
    <mergeCell ref="A16:A17"/>
    <mergeCell ref="B16:B17"/>
    <mergeCell ref="A18:A19"/>
    <mergeCell ref="A1:K1"/>
    <mergeCell ref="A5:A11"/>
    <mergeCell ref="B5:B7"/>
    <mergeCell ref="B8:B11"/>
    <mergeCell ref="A12:A15"/>
    <mergeCell ref="B12:B13"/>
    <mergeCell ref="B14:B15"/>
  </mergeCells>
  <printOptions horizontalCentered="1"/>
  <pageMargins bottom="0.4330708661417323" footer="0.0" header="0.0" left="0.1968503937007874" right="0.1968503937007874" top="0.7480314960629921"/>
  <pageSetup paperSize="9" orientation="landscape"/>
  <headerFooter>
    <oddHeader>&amp;LSociální zázemí&amp;RAkční plán rozvoje města pro období 2023 - 2024 - vyhodnocení plnění k 31.12.2023</oddHeader>
    <oddFooter>&amp;C&amp;P/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29"/>
    <col customWidth="1" min="2" max="2" width="8.71"/>
    <col customWidth="1" min="3" max="3" width="78.57"/>
    <col customWidth="1" min="4" max="26" width="8.71"/>
  </cols>
  <sheetData>
    <row r="1" ht="30.75" customHeight="1">
      <c r="A1" s="478" t="s">
        <v>469</v>
      </c>
      <c r="B1" s="198" t="s">
        <v>34</v>
      </c>
      <c r="C1" s="163" t="s">
        <v>470</v>
      </c>
    </row>
    <row r="2" ht="30.75" customHeight="1">
      <c r="A2" s="478" t="s">
        <v>471</v>
      </c>
      <c r="B2" s="198" t="s">
        <v>34</v>
      </c>
      <c r="C2" s="163" t="s">
        <v>472</v>
      </c>
    </row>
    <row r="3" ht="30.75" customHeight="1">
      <c r="A3" s="478" t="s">
        <v>473</v>
      </c>
      <c r="B3" s="198" t="s">
        <v>16</v>
      </c>
      <c r="C3" s="163" t="s">
        <v>474</v>
      </c>
    </row>
    <row r="4" ht="30.75" customHeight="1">
      <c r="A4" s="478" t="s">
        <v>475</v>
      </c>
      <c r="B4" s="198" t="s">
        <v>476</v>
      </c>
      <c r="C4" s="163" t="s">
        <v>472</v>
      </c>
    </row>
    <row r="5" ht="30.75" customHeight="1">
      <c r="A5" s="478" t="s">
        <v>477</v>
      </c>
      <c r="B5" s="198" t="s">
        <v>69</v>
      </c>
      <c r="C5" s="163" t="s">
        <v>472</v>
      </c>
    </row>
    <row r="6" ht="30.75" customHeight="1">
      <c r="A6" s="478" t="s">
        <v>478</v>
      </c>
      <c r="B6" s="198" t="s">
        <v>192</v>
      </c>
      <c r="C6" s="163" t="s">
        <v>474</v>
      </c>
    </row>
    <row r="7" ht="30.75" customHeight="1">
      <c r="A7" s="478" t="s">
        <v>479</v>
      </c>
      <c r="B7" s="198" t="s">
        <v>34</v>
      </c>
      <c r="C7" s="163" t="s">
        <v>480</v>
      </c>
    </row>
    <row r="8" ht="30.75" customHeight="1">
      <c r="A8" s="302"/>
      <c r="B8" s="198"/>
    </row>
    <row r="9" ht="30.75" customHeight="1">
      <c r="A9" s="197" t="s">
        <v>481</v>
      </c>
      <c r="B9" s="198" t="s">
        <v>34</v>
      </c>
      <c r="C9" s="163" t="s">
        <v>482</v>
      </c>
    </row>
    <row r="10" ht="30.75" customHeight="1">
      <c r="A10" s="197" t="s">
        <v>483</v>
      </c>
      <c r="B10" s="198" t="s">
        <v>34</v>
      </c>
      <c r="C10" s="163" t="s">
        <v>484</v>
      </c>
    </row>
    <row r="11" ht="30.75" customHeight="1">
      <c r="A11" s="90" t="s">
        <v>485</v>
      </c>
      <c r="B11" s="198" t="s">
        <v>34</v>
      </c>
      <c r="C11" s="479">
        <v>2024.0</v>
      </c>
    </row>
    <row r="12" ht="30.75" customHeight="1">
      <c r="A12" s="197" t="s">
        <v>486</v>
      </c>
      <c r="B12" s="198" t="s">
        <v>34</v>
      </c>
      <c r="C12" s="163" t="s">
        <v>474</v>
      </c>
    </row>
    <row r="13" ht="30.75" customHeight="1">
      <c r="A13" s="312" t="s">
        <v>487</v>
      </c>
      <c r="B13" s="198" t="s">
        <v>34</v>
      </c>
      <c r="C13" s="163" t="s">
        <v>488</v>
      </c>
    </row>
    <row r="14" ht="30.75" customHeight="1">
      <c r="A14" s="312" t="s">
        <v>489</v>
      </c>
      <c r="B14" s="198" t="s">
        <v>34</v>
      </c>
      <c r="C14" s="479">
        <v>2024.0</v>
      </c>
    </row>
    <row r="15" ht="30.75" customHeight="1">
      <c r="A15" s="312" t="s">
        <v>490</v>
      </c>
      <c r="B15" s="198" t="s">
        <v>34</v>
      </c>
      <c r="C15" s="163" t="s">
        <v>491</v>
      </c>
    </row>
    <row r="16" ht="30.75" customHeight="1">
      <c r="A16" s="312" t="s">
        <v>492</v>
      </c>
      <c r="B16" s="198" t="s">
        <v>34</v>
      </c>
      <c r="C16" s="163" t="s">
        <v>493</v>
      </c>
    </row>
    <row r="17" ht="30.75" customHeight="1">
      <c r="A17" s="318" t="s">
        <v>494</v>
      </c>
      <c r="B17" s="198" t="s">
        <v>495</v>
      </c>
      <c r="C17" s="163" t="s">
        <v>474</v>
      </c>
    </row>
    <row r="18" ht="30.75" customHeight="1">
      <c r="A18" s="90" t="s">
        <v>496</v>
      </c>
      <c r="B18" s="91" t="s">
        <v>366</v>
      </c>
      <c r="C18" s="163" t="s">
        <v>474</v>
      </c>
      <c r="D18" s="163" t="s">
        <v>497</v>
      </c>
    </row>
    <row r="19" ht="30.75" customHeight="1">
      <c r="A19" s="90" t="s">
        <v>498</v>
      </c>
      <c r="B19" s="91" t="s">
        <v>366</v>
      </c>
      <c r="C19" s="163" t="s">
        <v>474</v>
      </c>
    </row>
    <row r="20" ht="30.75" customHeight="1">
      <c r="A20" s="197" t="s">
        <v>499</v>
      </c>
      <c r="B20" s="198" t="s">
        <v>366</v>
      </c>
      <c r="C20" s="163" t="s">
        <v>500</v>
      </c>
    </row>
    <row r="21" ht="30.75" customHeight="1">
      <c r="A21" s="390" t="s">
        <v>501</v>
      </c>
      <c r="B21" s="47" t="s">
        <v>16</v>
      </c>
      <c r="C21" s="163" t="s">
        <v>502</v>
      </c>
    </row>
    <row r="22" ht="30.75" customHeight="1">
      <c r="A22" s="90" t="s">
        <v>503</v>
      </c>
      <c r="B22" s="91" t="s">
        <v>34</v>
      </c>
    </row>
    <row r="23" ht="30.75" customHeight="1">
      <c r="A23" s="197" t="s">
        <v>504</v>
      </c>
      <c r="B23" s="198" t="s">
        <v>34</v>
      </c>
    </row>
    <row r="24" ht="30.75" customHeight="1"/>
    <row r="25" ht="30.75" customHeight="1">
      <c r="A25" s="480" t="s">
        <v>505</v>
      </c>
    </row>
    <row r="26" ht="30.75" customHeight="1">
      <c r="A26" s="480" t="s">
        <v>506</v>
      </c>
    </row>
    <row r="27" ht="30.75" customHeight="1"/>
    <row r="28" ht="30.75" customHeight="1"/>
    <row r="29" ht="30.75" customHeight="1"/>
    <row r="30" ht="30.75" customHeight="1"/>
    <row r="31" ht="30.75" customHeight="1"/>
    <row r="32" ht="30.75" customHeight="1"/>
    <row r="33" ht="30.75" customHeight="1"/>
    <row r="34" ht="30.75" customHeight="1"/>
    <row r="35" ht="30.75" customHeight="1"/>
    <row r="36" ht="30.75" customHeight="1"/>
    <row r="37" ht="30.75" customHeight="1"/>
    <row r="38" ht="30.75" customHeight="1"/>
    <row r="39" ht="30.75" customHeight="1"/>
    <row r="40" ht="30.75" customHeight="1"/>
    <row r="41" ht="30.75" customHeight="1"/>
    <row r="42" ht="30.75" customHeight="1"/>
    <row r="43" ht="30.75" customHeight="1"/>
    <row r="44" ht="30.75" customHeight="1"/>
    <row r="45" ht="30.75" customHeight="1"/>
    <row r="46" ht="30.75" customHeight="1"/>
    <row r="47" ht="30.75" customHeight="1"/>
    <row r="48" ht="30.75" customHeight="1"/>
    <row r="49" ht="30.75" customHeight="1"/>
    <row r="50" ht="30.75" customHeight="1"/>
    <row r="51" ht="30.75" customHeight="1"/>
    <row r="52" ht="30.75" customHeight="1"/>
    <row r="53" ht="30.75" customHeight="1"/>
    <row r="54" ht="30.75" customHeight="1"/>
    <row r="55" ht="30.75" customHeight="1"/>
    <row r="56" ht="30.75" customHeight="1"/>
    <row r="57" ht="30.75" customHeight="1"/>
    <row r="58" ht="30.75" customHeight="1"/>
    <row r="59" ht="30.75" customHeight="1"/>
    <row r="60" ht="30.75" customHeight="1"/>
    <row r="61" ht="30.75" customHeight="1"/>
    <row r="62" ht="30.75" customHeight="1"/>
    <row r="63" ht="30.75" customHeight="1"/>
    <row r="64" ht="30.75" customHeight="1"/>
    <row r="65" ht="30.75" customHeight="1"/>
    <row r="66" ht="30.75" customHeight="1"/>
    <row r="67" ht="30.75" customHeight="1"/>
    <row r="68" ht="30.75" customHeight="1"/>
    <row r="69" ht="30.75" customHeight="1"/>
    <row r="70" ht="30.75" customHeight="1"/>
    <row r="71" ht="30.75" customHeight="1"/>
    <row r="72" ht="30.75" customHeight="1"/>
    <row r="73" ht="30.75" customHeight="1"/>
    <row r="74" ht="30.75" customHeight="1"/>
    <row r="75" ht="30.75" customHeight="1"/>
    <row r="76" ht="30.75" customHeight="1"/>
    <row r="77" ht="30.75" customHeight="1"/>
    <row r="78" ht="30.75" customHeight="1"/>
    <row r="79" ht="30.75" customHeight="1"/>
    <row r="80" ht="30.75" customHeight="1"/>
    <row r="81" ht="30.75" customHeight="1"/>
    <row r="82" ht="30.75" customHeight="1"/>
    <row r="83" ht="30.75" customHeight="1"/>
    <row r="84" ht="30.75" customHeight="1"/>
    <row r="85" ht="30.75" customHeight="1"/>
    <row r="86" ht="30.75" customHeight="1"/>
    <row r="87" ht="30.75" customHeight="1"/>
    <row r="88" ht="30.75" customHeight="1"/>
    <row r="89" ht="30.75" customHeight="1"/>
    <row r="90" ht="30.75" customHeight="1"/>
    <row r="91" ht="30.75" customHeight="1"/>
    <row r="92" ht="30.75" customHeight="1"/>
    <row r="93" ht="30.75" customHeight="1"/>
    <row r="94" ht="30.75" customHeight="1"/>
    <row r="95" ht="30.75" customHeight="1"/>
    <row r="96" ht="30.75" customHeight="1"/>
    <row r="97" ht="30.75" customHeight="1"/>
    <row r="98" ht="30.75" customHeight="1"/>
    <row r="99" ht="30.75" customHeight="1"/>
    <row r="100" ht="30.75" customHeight="1"/>
    <row r="101" ht="30.75" customHeight="1"/>
    <row r="102" ht="30.75" customHeight="1"/>
    <row r="103" ht="30.75" customHeight="1"/>
    <row r="104" ht="30.75" customHeight="1"/>
    <row r="105" ht="30.75" customHeight="1"/>
    <row r="106" ht="30.75" customHeight="1"/>
    <row r="107" ht="30.75" customHeight="1"/>
    <row r="108" ht="30.75" customHeight="1"/>
    <row r="109" ht="30.75" customHeight="1"/>
    <row r="110" ht="30.75" customHeight="1"/>
    <row r="111" ht="30.75" customHeight="1"/>
    <row r="112" ht="30.75" customHeight="1"/>
    <row r="113" ht="30.75" customHeight="1"/>
    <row r="114" ht="30.75" customHeight="1"/>
    <row r="115" ht="30.75" customHeight="1"/>
    <row r="116" ht="30.75" customHeight="1"/>
    <row r="117" ht="30.75" customHeight="1"/>
    <row r="118" ht="30.75" customHeight="1"/>
    <row r="119" ht="30.75" customHeight="1"/>
    <row r="120" ht="30.75" customHeight="1"/>
    <row r="121" ht="30.75" customHeight="1"/>
    <row r="122" ht="30.75" customHeight="1"/>
    <row r="123" ht="30.75" customHeight="1"/>
    <row r="124" ht="30.75" customHeight="1"/>
    <row r="125" ht="30.75" customHeight="1"/>
    <row r="126" ht="30.75" customHeight="1"/>
    <row r="127" ht="30.75" customHeight="1"/>
    <row r="128" ht="30.75" customHeight="1"/>
    <row r="129" ht="30.75" customHeight="1"/>
    <row r="130" ht="30.75" customHeight="1"/>
    <row r="131" ht="30.75" customHeight="1"/>
    <row r="132" ht="30.75" customHeight="1"/>
    <row r="133" ht="30.75" customHeight="1"/>
    <row r="134" ht="30.75" customHeight="1"/>
    <row r="135" ht="30.75" customHeight="1"/>
    <row r="136" ht="30.75" customHeight="1"/>
    <row r="137" ht="30.75" customHeight="1"/>
    <row r="138" ht="30.75" customHeight="1"/>
    <row r="139" ht="30.75" customHeight="1"/>
    <row r="140" ht="30.75" customHeight="1"/>
    <row r="141" ht="30.75" customHeight="1"/>
    <row r="142" ht="30.75" customHeight="1"/>
    <row r="143" ht="30.75" customHeight="1"/>
    <row r="144" ht="30.75" customHeight="1"/>
    <row r="145" ht="30.75" customHeight="1"/>
    <row r="146" ht="30.75" customHeight="1"/>
    <row r="147" ht="30.75" customHeight="1"/>
    <row r="148" ht="30.75" customHeight="1"/>
    <row r="149" ht="30.75" customHeight="1"/>
    <row r="150" ht="30.75" customHeight="1"/>
    <row r="151" ht="30.75" customHeight="1"/>
    <row r="152" ht="30.75" customHeight="1"/>
    <row r="153" ht="30.75" customHeight="1"/>
    <row r="154" ht="30.75" customHeight="1"/>
    <row r="155" ht="30.75" customHeight="1"/>
    <row r="156" ht="30.75" customHeight="1"/>
    <row r="157" ht="30.75" customHeight="1"/>
    <row r="158" ht="30.75" customHeight="1"/>
    <row r="159" ht="30.75" customHeight="1"/>
    <row r="160" ht="30.75" customHeight="1"/>
    <row r="161" ht="30.75" customHeight="1"/>
    <row r="162" ht="30.75" customHeight="1"/>
    <row r="163" ht="30.75" customHeight="1"/>
    <row r="164" ht="30.75" customHeight="1"/>
    <row r="165" ht="30.75" customHeight="1"/>
    <row r="166" ht="30.75" customHeight="1"/>
    <row r="167" ht="30.75" customHeight="1"/>
    <row r="168" ht="30.75" customHeight="1"/>
    <row r="169" ht="30.75" customHeight="1"/>
    <row r="170" ht="30.75" customHeight="1"/>
    <row r="171" ht="30.75" customHeight="1"/>
    <row r="172" ht="30.75" customHeight="1"/>
    <row r="173" ht="30.75" customHeight="1"/>
    <row r="174" ht="30.75" customHeight="1"/>
    <row r="175" ht="30.75" customHeight="1"/>
    <row r="176" ht="30.75" customHeight="1"/>
    <row r="177" ht="30.75" customHeight="1"/>
    <row r="178" ht="30.75" customHeight="1"/>
    <row r="179" ht="30.75" customHeight="1"/>
    <row r="180" ht="30.75" customHeight="1"/>
    <row r="181" ht="30.75" customHeight="1"/>
    <row r="182" ht="30.75" customHeight="1"/>
    <row r="183" ht="30.75" customHeight="1"/>
    <row r="184" ht="30.75" customHeight="1"/>
    <row r="185" ht="30.75" customHeight="1"/>
    <row r="186" ht="30.75" customHeight="1"/>
    <row r="187" ht="30.75" customHeight="1"/>
    <row r="188" ht="30.75" customHeight="1"/>
    <row r="189" ht="30.75" customHeight="1"/>
    <row r="190" ht="30.75" customHeight="1"/>
    <row r="191" ht="30.75" customHeight="1"/>
    <row r="192" ht="30.75" customHeight="1"/>
    <row r="193" ht="30.75" customHeight="1"/>
    <row r="194" ht="30.75" customHeight="1"/>
    <row r="195" ht="30.75" customHeight="1"/>
    <row r="196" ht="30.75" customHeight="1"/>
    <row r="197" ht="30.75" customHeight="1"/>
    <row r="198" ht="30.75" customHeight="1"/>
    <row r="199" ht="30.75" customHeight="1"/>
    <row r="200" ht="30.75" customHeight="1"/>
    <row r="201" ht="30.75" customHeight="1"/>
    <row r="202" ht="30.75" customHeight="1"/>
    <row r="203" ht="30.75" customHeight="1"/>
    <row r="204" ht="30.75" customHeight="1"/>
    <row r="205" ht="30.75" customHeight="1"/>
    <row r="206" ht="30.75" customHeight="1"/>
    <row r="207" ht="30.75" customHeight="1"/>
    <row r="208" ht="30.75" customHeight="1"/>
    <row r="209" ht="30.75" customHeight="1"/>
    <row r="210" ht="30.75" customHeight="1"/>
    <row r="211" ht="30.75" customHeight="1"/>
    <row r="212" ht="30.75" customHeight="1"/>
    <row r="213" ht="30.75" customHeight="1"/>
    <row r="214" ht="30.75" customHeight="1"/>
    <row r="215" ht="30.75" customHeight="1"/>
    <row r="216" ht="30.75" customHeight="1"/>
    <row r="217" ht="30.75" customHeight="1"/>
    <row r="218" ht="30.75" customHeight="1"/>
    <row r="219" ht="30.75" customHeight="1"/>
    <row r="220" ht="30.75" customHeight="1"/>
    <row r="221" ht="30.75" customHeight="1"/>
    <row r="222" ht="30.75" customHeight="1"/>
    <row r="223" ht="30.75" customHeight="1"/>
    <row r="224" ht="30.75" customHeight="1"/>
    <row r="225" ht="30.75" customHeight="1"/>
    <row r="226" ht="30.75" customHeight="1"/>
    <row r="227" ht="30.75" customHeight="1"/>
    <row r="228" ht="30.75" customHeight="1"/>
    <row r="229" ht="30.75" customHeight="1"/>
    <row r="230" ht="30.75" customHeight="1"/>
    <row r="231" ht="30.75" customHeight="1"/>
    <row r="232" ht="30.75" customHeight="1"/>
    <row r="233" ht="30.75" customHeight="1"/>
    <row r="234" ht="30.75" customHeight="1"/>
    <row r="235" ht="30.75" customHeight="1"/>
    <row r="236" ht="30.75" customHeight="1"/>
    <row r="237" ht="30.75" customHeight="1"/>
    <row r="238" ht="30.75" customHeight="1"/>
    <row r="239" ht="30.75" customHeight="1"/>
    <row r="240" ht="30.75" customHeight="1"/>
    <row r="241" ht="30.75" customHeight="1"/>
    <row r="242" ht="30.75" customHeight="1"/>
    <row r="243" ht="30.75" customHeight="1"/>
    <row r="244" ht="30.75" customHeight="1"/>
    <row r="245" ht="30.75" customHeight="1"/>
    <row r="246" ht="30.75" customHeight="1"/>
    <row r="247" ht="30.75" customHeight="1"/>
    <row r="248" ht="30.75" customHeight="1"/>
    <row r="249" ht="30.75" customHeight="1"/>
    <row r="250" ht="30.75" customHeight="1"/>
    <row r="251" ht="30.75" customHeight="1"/>
    <row r="252" ht="30.75" customHeight="1"/>
    <row r="253" ht="30.75" customHeight="1"/>
    <row r="254" ht="30.75" customHeight="1"/>
    <row r="255" ht="30.75" customHeight="1"/>
    <row r="256" ht="30.75" customHeight="1"/>
    <row r="257" ht="30.75" customHeight="1"/>
    <row r="258" ht="30.75" customHeight="1"/>
    <row r="259" ht="30.75" customHeight="1"/>
    <row r="260" ht="30.75" customHeight="1"/>
    <row r="261" ht="30.75" customHeight="1"/>
    <row r="262" ht="30.75" customHeight="1"/>
    <row r="263" ht="30.75" customHeight="1"/>
    <row r="264" ht="30.75" customHeight="1"/>
    <row r="265" ht="30.75" customHeight="1"/>
    <row r="266" ht="30.75" customHeight="1"/>
    <row r="267" ht="30.75" customHeight="1"/>
    <row r="268" ht="30.75" customHeight="1"/>
    <row r="269" ht="30.75" customHeight="1"/>
    <row r="270" ht="30.75" customHeight="1"/>
    <row r="271" ht="30.75" customHeight="1"/>
    <row r="272" ht="30.75" customHeight="1"/>
    <row r="273" ht="30.75" customHeight="1"/>
    <row r="274" ht="30.75" customHeight="1"/>
    <row r="275" ht="30.75" customHeight="1"/>
    <row r="276" ht="30.75" customHeight="1"/>
    <row r="277" ht="30.75" customHeight="1"/>
    <row r="278" ht="30.75" customHeight="1"/>
    <row r="279" ht="30.75" customHeight="1"/>
    <row r="280" ht="30.75" customHeight="1"/>
    <row r="281" ht="30.75" customHeight="1"/>
    <row r="282" ht="30.75" customHeight="1"/>
    <row r="283" ht="30.75" customHeight="1"/>
    <row r="284" ht="30.75" customHeight="1"/>
    <row r="285" ht="30.75" customHeight="1"/>
    <row r="286" ht="30.75" customHeight="1"/>
    <row r="287" ht="30.75" customHeight="1"/>
    <row r="288" ht="30.75" customHeight="1"/>
    <row r="289" ht="30.75" customHeight="1"/>
    <row r="290" ht="30.75" customHeight="1"/>
    <row r="291" ht="30.75" customHeight="1"/>
    <row r="292" ht="30.75" customHeight="1"/>
    <row r="293" ht="30.75" customHeight="1"/>
    <row r="294" ht="30.75" customHeight="1"/>
    <row r="295" ht="30.75" customHeight="1"/>
    <row r="296" ht="30.75" customHeight="1"/>
    <row r="297" ht="30.75" customHeight="1"/>
    <row r="298" ht="30.75" customHeight="1"/>
    <row r="299" ht="30.75" customHeight="1"/>
    <row r="300" ht="30.75" customHeight="1"/>
    <row r="301" ht="30.75" customHeight="1"/>
    <row r="302" ht="30.75" customHeight="1"/>
    <row r="303" ht="30.75" customHeight="1"/>
    <row r="304" ht="30.75" customHeight="1"/>
    <row r="305" ht="30.75" customHeight="1"/>
    <row r="306" ht="30.75" customHeight="1"/>
    <row r="307" ht="30.75" customHeight="1"/>
    <row r="308" ht="30.75" customHeight="1"/>
    <row r="309" ht="30.75" customHeight="1"/>
    <row r="310" ht="30.75" customHeight="1"/>
    <row r="311" ht="30.75" customHeight="1"/>
    <row r="312" ht="30.75" customHeight="1"/>
    <row r="313" ht="30.75" customHeight="1"/>
    <row r="314" ht="30.75" customHeight="1"/>
    <row r="315" ht="30.75" customHeight="1"/>
    <row r="316" ht="30.75" customHeight="1"/>
    <row r="317" ht="30.75" customHeight="1"/>
    <row r="318" ht="30.75" customHeight="1"/>
    <row r="319" ht="30.75" customHeight="1"/>
    <row r="320" ht="30.75" customHeight="1"/>
    <row r="321" ht="30.75" customHeight="1"/>
    <row r="322" ht="30.75" customHeight="1"/>
    <row r="323" ht="30.75" customHeight="1"/>
    <row r="324" ht="30.75" customHeight="1"/>
    <row r="325" ht="30.75" customHeight="1"/>
    <row r="326" ht="30.75" customHeight="1"/>
    <row r="327" ht="30.75" customHeight="1"/>
    <row r="328" ht="30.75" customHeight="1"/>
    <row r="329" ht="30.75" customHeight="1"/>
    <row r="330" ht="30.75" customHeight="1"/>
    <row r="331" ht="30.75" customHeight="1"/>
    <row r="332" ht="30.75" customHeight="1"/>
    <row r="333" ht="30.75" customHeight="1"/>
    <row r="334" ht="30.75" customHeight="1"/>
    <row r="335" ht="30.75" customHeight="1"/>
    <row r="336" ht="30.75" customHeight="1"/>
    <row r="337" ht="30.75" customHeight="1"/>
    <row r="338" ht="30.75" customHeight="1"/>
    <row r="339" ht="30.75" customHeight="1"/>
    <row r="340" ht="30.75" customHeight="1"/>
    <row r="341" ht="30.75" customHeight="1"/>
    <row r="342" ht="30.75" customHeight="1"/>
    <row r="343" ht="30.75" customHeight="1"/>
    <row r="344" ht="30.75" customHeight="1"/>
    <row r="345" ht="30.75" customHeight="1"/>
    <row r="346" ht="30.75" customHeight="1"/>
    <row r="347" ht="30.75" customHeight="1"/>
    <row r="348" ht="30.75" customHeight="1"/>
    <row r="349" ht="30.75" customHeight="1"/>
    <row r="350" ht="30.75" customHeight="1"/>
    <row r="351" ht="30.75" customHeight="1"/>
    <row r="352" ht="30.75" customHeight="1"/>
    <row r="353" ht="30.75" customHeight="1"/>
    <row r="354" ht="30.75" customHeight="1"/>
    <row r="355" ht="30.75" customHeight="1"/>
    <row r="356" ht="30.75" customHeight="1"/>
    <row r="357" ht="30.75" customHeight="1"/>
    <row r="358" ht="30.75" customHeight="1"/>
    <row r="359" ht="30.75" customHeight="1"/>
    <row r="360" ht="30.75" customHeight="1"/>
    <row r="361" ht="30.75" customHeight="1"/>
    <row r="362" ht="30.75" customHeight="1"/>
    <row r="363" ht="30.75" customHeight="1"/>
    <row r="364" ht="30.75" customHeight="1"/>
    <row r="365" ht="30.75" customHeight="1"/>
    <row r="366" ht="30.75" customHeight="1"/>
    <row r="367" ht="30.75" customHeight="1"/>
    <row r="368" ht="30.75" customHeight="1"/>
    <row r="369" ht="30.75" customHeight="1"/>
    <row r="370" ht="30.75" customHeight="1"/>
    <row r="371" ht="30.75" customHeight="1"/>
    <row r="372" ht="30.75" customHeight="1"/>
    <row r="373" ht="30.75" customHeight="1"/>
    <row r="374" ht="30.75" customHeight="1"/>
    <row r="375" ht="30.75" customHeight="1"/>
    <row r="376" ht="30.75" customHeight="1"/>
    <row r="377" ht="30.75" customHeight="1"/>
    <row r="378" ht="30.75" customHeight="1"/>
    <row r="379" ht="30.75" customHeight="1"/>
    <row r="380" ht="30.75" customHeight="1"/>
    <row r="381" ht="30.75" customHeight="1"/>
    <row r="382" ht="30.75" customHeight="1"/>
    <row r="383" ht="30.75" customHeight="1"/>
    <row r="384" ht="30.75" customHeight="1"/>
    <row r="385" ht="30.75" customHeight="1"/>
    <row r="386" ht="30.75" customHeight="1"/>
    <row r="387" ht="30.75" customHeight="1"/>
    <row r="388" ht="30.75" customHeight="1"/>
    <row r="389" ht="30.75" customHeight="1"/>
    <row r="390" ht="30.75" customHeight="1"/>
    <row r="391" ht="30.75" customHeight="1"/>
    <row r="392" ht="30.75" customHeight="1"/>
    <row r="393" ht="30.75" customHeight="1"/>
    <row r="394" ht="30.75" customHeight="1"/>
    <row r="395" ht="30.75" customHeight="1"/>
    <row r="396" ht="30.75" customHeight="1"/>
    <row r="397" ht="30.75" customHeight="1"/>
    <row r="398" ht="30.75" customHeight="1"/>
    <row r="399" ht="30.75" customHeight="1"/>
    <row r="400" ht="30.75" customHeight="1"/>
    <row r="401" ht="30.75" customHeight="1"/>
    <row r="402" ht="30.75" customHeight="1"/>
    <row r="403" ht="30.75" customHeight="1"/>
    <row r="404" ht="30.75" customHeight="1"/>
    <row r="405" ht="30.75" customHeight="1"/>
    <row r="406" ht="30.75" customHeight="1"/>
    <row r="407" ht="30.75" customHeight="1"/>
    <row r="408" ht="30.75" customHeight="1"/>
    <row r="409" ht="30.75" customHeight="1"/>
    <row r="410" ht="30.75" customHeight="1"/>
    <row r="411" ht="30.75" customHeight="1"/>
    <row r="412" ht="30.75" customHeight="1"/>
    <row r="413" ht="30.75" customHeight="1"/>
    <row r="414" ht="30.75" customHeight="1"/>
    <row r="415" ht="30.75" customHeight="1"/>
    <row r="416" ht="30.75" customHeight="1"/>
    <row r="417" ht="30.75" customHeight="1"/>
    <row r="418" ht="30.75" customHeight="1"/>
    <row r="419" ht="30.75" customHeight="1"/>
    <row r="420" ht="30.75" customHeight="1"/>
    <row r="421" ht="30.75" customHeight="1"/>
    <row r="422" ht="30.75" customHeight="1"/>
    <row r="423" ht="30.75" customHeight="1"/>
    <row r="424" ht="30.75" customHeight="1"/>
    <row r="425" ht="30.75" customHeight="1"/>
    <row r="426" ht="30.75" customHeight="1"/>
    <row r="427" ht="30.75" customHeight="1"/>
    <row r="428" ht="30.75" customHeight="1"/>
    <row r="429" ht="30.75" customHeight="1"/>
    <row r="430" ht="30.75" customHeight="1"/>
    <row r="431" ht="30.75" customHeight="1"/>
    <row r="432" ht="30.75" customHeight="1"/>
    <row r="433" ht="30.75" customHeight="1"/>
    <row r="434" ht="30.75" customHeight="1"/>
    <row r="435" ht="30.75" customHeight="1"/>
    <row r="436" ht="30.75" customHeight="1"/>
    <row r="437" ht="30.75" customHeight="1"/>
    <row r="438" ht="30.75" customHeight="1"/>
    <row r="439" ht="30.75" customHeight="1"/>
    <row r="440" ht="30.75" customHeight="1"/>
    <row r="441" ht="30.75" customHeight="1"/>
    <row r="442" ht="30.75" customHeight="1"/>
    <row r="443" ht="30.75" customHeight="1"/>
    <row r="444" ht="30.75" customHeight="1"/>
    <row r="445" ht="30.75" customHeight="1"/>
    <row r="446" ht="30.75" customHeight="1"/>
    <row r="447" ht="30.75" customHeight="1"/>
    <row r="448" ht="30.75" customHeight="1"/>
    <row r="449" ht="30.75" customHeight="1"/>
    <row r="450" ht="30.75" customHeight="1"/>
    <row r="451" ht="30.75" customHeight="1"/>
    <row r="452" ht="30.75" customHeight="1"/>
    <row r="453" ht="30.75" customHeight="1"/>
    <row r="454" ht="30.75" customHeight="1"/>
    <row r="455" ht="30.75" customHeight="1"/>
    <row r="456" ht="30.75" customHeight="1"/>
    <row r="457" ht="30.75" customHeight="1"/>
    <row r="458" ht="30.75" customHeight="1"/>
    <row r="459" ht="30.75" customHeight="1"/>
    <row r="460" ht="30.75" customHeight="1"/>
    <row r="461" ht="30.75" customHeight="1"/>
    <row r="462" ht="30.75" customHeight="1"/>
    <row r="463" ht="30.75" customHeight="1"/>
    <row r="464" ht="30.75" customHeight="1"/>
    <row r="465" ht="30.75" customHeight="1"/>
    <row r="466" ht="30.75" customHeight="1"/>
    <row r="467" ht="30.75" customHeight="1"/>
    <row r="468" ht="30.75" customHeight="1"/>
    <row r="469" ht="30.75" customHeight="1"/>
    <row r="470" ht="30.75" customHeight="1"/>
    <row r="471" ht="30.75" customHeight="1"/>
    <row r="472" ht="30.75" customHeight="1"/>
    <row r="473" ht="30.75" customHeight="1"/>
    <row r="474" ht="30.75" customHeight="1"/>
    <row r="475" ht="30.75" customHeight="1"/>
    <row r="476" ht="30.75" customHeight="1"/>
    <row r="477" ht="30.75" customHeight="1"/>
    <row r="478" ht="30.75" customHeight="1"/>
    <row r="479" ht="30.75" customHeight="1"/>
    <row r="480" ht="30.75" customHeight="1"/>
    <row r="481" ht="30.75" customHeight="1"/>
    <row r="482" ht="30.75" customHeight="1"/>
    <row r="483" ht="30.75" customHeight="1"/>
    <row r="484" ht="30.75" customHeight="1"/>
    <row r="485" ht="30.75" customHeight="1"/>
    <row r="486" ht="30.75" customHeight="1"/>
    <row r="487" ht="30.75" customHeight="1"/>
    <row r="488" ht="30.75" customHeight="1"/>
    <row r="489" ht="30.75" customHeight="1"/>
    <row r="490" ht="30.75" customHeight="1"/>
    <row r="491" ht="30.75" customHeight="1"/>
    <row r="492" ht="30.75" customHeight="1"/>
    <row r="493" ht="30.75" customHeight="1"/>
    <row r="494" ht="30.75" customHeight="1"/>
    <row r="495" ht="30.75" customHeight="1"/>
    <row r="496" ht="30.75" customHeight="1"/>
    <row r="497" ht="30.75" customHeight="1"/>
    <row r="498" ht="30.75" customHeight="1"/>
    <row r="499" ht="30.75" customHeight="1"/>
    <row r="500" ht="30.75" customHeight="1"/>
    <row r="501" ht="30.75" customHeight="1"/>
    <row r="502" ht="30.75" customHeight="1"/>
    <row r="503" ht="30.75" customHeight="1"/>
    <row r="504" ht="30.75" customHeight="1"/>
    <row r="505" ht="30.75" customHeight="1"/>
    <row r="506" ht="30.75" customHeight="1"/>
    <row r="507" ht="30.75" customHeight="1"/>
    <row r="508" ht="30.75" customHeight="1"/>
    <row r="509" ht="30.75" customHeight="1"/>
    <row r="510" ht="30.75" customHeight="1"/>
    <row r="511" ht="30.75" customHeight="1"/>
    <row r="512" ht="30.75" customHeight="1"/>
    <row r="513" ht="30.75" customHeight="1"/>
    <row r="514" ht="30.75" customHeight="1"/>
    <row r="515" ht="30.75" customHeight="1"/>
    <row r="516" ht="30.75" customHeight="1"/>
    <row r="517" ht="30.75" customHeight="1"/>
    <row r="518" ht="30.75" customHeight="1"/>
    <row r="519" ht="30.75" customHeight="1"/>
    <row r="520" ht="30.75" customHeight="1"/>
    <row r="521" ht="30.75" customHeight="1"/>
    <row r="522" ht="30.75" customHeight="1"/>
    <row r="523" ht="30.75" customHeight="1"/>
    <row r="524" ht="30.75" customHeight="1"/>
    <row r="525" ht="30.75" customHeight="1"/>
    <row r="526" ht="30.75" customHeight="1"/>
    <row r="527" ht="30.75" customHeight="1"/>
    <row r="528" ht="30.75" customHeight="1"/>
    <row r="529" ht="30.75" customHeight="1"/>
    <row r="530" ht="30.75" customHeight="1"/>
    <row r="531" ht="30.75" customHeight="1"/>
    <row r="532" ht="30.75" customHeight="1"/>
    <row r="533" ht="30.75" customHeight="1"/>
    <row r="534" ht="30.75" customHeight="1"/>
    <row r="535" ht="30.75" customHeight="1"/>
    <row r="536" ht="30.75" customHeight="1"/>
    <row r="537" ht="30.75" customHeight="1"/>
    <row r="538" ht="30.75" customHeight="1"/>
    <row r="539" ht="30.75" customHeight="1"/>
    <row r="540" ht="30.75" customHeight="1"/>
    <row r="541" ht="30.75" customHeight="1"/>
    <row r="542" ht="30.75" customHeight="1"/>
    <row r="543" ht="30.75" customHeight="1"/>
    <row r="544" ht="30.75" customHeight="1"/>
    <row r="545" ht="30.75" customHeight="1"/>
    <row r="546" ht="30.75" customHeight="1"/>
    <row r="547" ht="30.75" customHeight="1"/>
    <row r="548" ht="30.75" customHeight="1"/>
    <row r="549" ht="30.75" customHeight="1"/>
    <row r="550" ht="30.75" customHeight="1"/>
    <row r="551" ht="30.75" customHeight="1"/>
    <row r="552" ht="30.75" customHeight="1"/>
    <row r="553" ht="30.75" customHeight="1"/>
    <row r="554" ht="30.75" customHeight="1"/>
    <row r="555" ht="30.75" customHeight="1"/>
    <row r="556" ht="30.75" customHeight="1"/>
    <row r="557" ht="30.75" customHeight="1"/>
    <row r="558" ht="30.75" customHeight="1"/>
    <row r="559" ht="30.75" customHeight="1"/>
    <row r="560" ht="30.75" customHeight="1"/>
    <row r="561" ht="30.75" customHeight="1"/>
    <row r="562" ht="30.75" customHeight="1"/>
    <row r="563" ht="30.75" customHeight="1"/>
    <row r="564" ht="30.75" customHeight="1"/>
    <row r="565" ht="30.75" customHeight="1"/>
    <row r="566" ht="30.75" customHeight="1"/>
    <row r="567" ht="30.75" customHeight="1"/>
    <row r="568" ht="30.75" customHeight="1"/>
    <row r="569" ht="30.75" customHeight="1"/>
    <row r="570" ht="30.75" customHeight="1"/>
    <row r="571" ht="30.75" customHeight="1"/>
    <row r="572" ht="30.75" customHeight="1"/>
    <row r="573" ht="30.75" customHeight="1"/>
    <row r="574" ht="30.75" customHeight="1"/>
    <row r="575" ht="30.75" customHeight="1"/>
    <row r="576" ht="30.75" customHeight="1"/>
    <row r="577" ht="30.75" customHeight="1"/>
    <row r="578" ht="30.75" customHeight="1"/>
    <row r="579" ht="30.75" customHeight="1"/>
    <row r="580" ht="30.75" customHeight="1"/>
    <row r="581" ht="30.75" customHeight="1"/>
    <row r="582" ht="30.75" customHeight="1"/>
    <row r="583" ht="30.75" customHeight="1"/>
    <row r="584" ht="30.75" customHeight="1"/>
    <row r="585" ht="30.75" customHeight="1"/>
    <row r="586" ht="30.75" customHeight="1"/>
    <row r="587" ht="30.75" customHeight="1"/>
    <row r="588" ht="30.75" customHeight="1"/>
    <row r="589" ht="30.75" customHeight="1"/>
    <row r="590" ht="30.75" customHeight="1"/>
    <row r="591" ht="30.75" customHeight="1"/>
    <row r="592" ht="30.75" customHeight="1"/>
    <row r="593" ht="30.75" customHeight="1"/>
    <row r="594" ht="30.75" customHeight="1"/>
    <row r="595" ht="30.75" customHeight="1"/>
    <row r="596" ht="30.75" customHeight="1"/>
    <row r="597" ht="30.75" customHeight="1"/>
    <row r="598" ht="30.75" customHeight="1"/>
    <row r="599" ht="30.75" customHeight="1"/>
    <row r="600" ht="30.75" customHeight="1"/>
    <row r="601" ht="30.75" customHeight="1"/>
    <row r="602" ht="30.75" customHeight="1"/>
    <row r="603" ht="30.75" customHeight="1"/>
    <row r="604" ht="30.75" customHeight="1"/>
    <row r="605" ht="30.75" customHeight="1"/>
    <row r="606" ht="30.75" customHeight="1"/>
    <row r="607" ht="30.75" customHeight="1"/>
    <row r="608" ht="30.75" customHeight="1"/>
    <row r="609" ht="30.75" customHeight="1"/>
    <row r="610" ht="30.75" customHeight="1"/>
    <row r="611" ht="30.75" customHeight="1"/>
    <row r="612" ht="30.75" customHeight="1"/>
    <row r="613" ht="30.75" customHeight="1"/>
    <row r="614" ht="30.75" customHeight="1"/>
    <row r="615" ht="30.75" customHeight="1"/>
    <row r="616" ht="30.75" customHeight="1"/>
    <row r="617" ht="30.75" customHeight="1"/>
    <row r="618" ht="30.75" customHeight="1"/>
    <row r="619" ht="30.75" customHeight="1"/>
    <row r="620" ht="30.75" customHeight="1"/>
    <row r="621" ht="30.75" customHeight="1"/>
    <row r="622" ht="30.75" customHeight="1"/>
    <row r="623" ht="30.75" customHeight="1"/>
    <row r="624" ht="30.75" customHeight="1"/>
    <row r="625" ht="30.75" customHeight="1"/>
    <row r="626" ht="30.75" customHeight="1"/>
    <row r="627" ht="30.75" customHeight="1"/>
    <row r="628" ht="30.75" customHeight="1"/>
    <row r="629" ht="30.75" customHeight="1"/>
    <row r="630" ht="30.75" customHeight="1"/>
    <row r="631" ht="30.75" customHeight="1"/>
    <row r="632" ht="30.75" customHeight="1"/>
    <row r="633" ht="30.75" customHeight="1"/>
    <row r="634" ht="30.75" customHeight="1"/>
    <row r="635" ht="30.75" customHeight="1"/>
    <row r="636" ht="30.75" customHeight="1"/>
    <row r="637" ht="30.75" customHeight="1"/>
    <row r="638" ht="30.75" customHeight="1"/>
    <row r="639" ht="30.75" customHeight="1"/>
    <row r="640" ht="30.75" customHeight="1"/>
    <row r="641" ht="30.75" customHeight="1"/>
    <row r="642" ht="30.75" customHeight="1"/>
    <row r="643" ht="30.75" customHeight="1"/>
    <row r="644" ht="30.75" customHeight="1"/>
    <row r="645" ht="30.75" customHeight="1"/>
    <row r="646" ht="30.75" customHeight="1"/>
    <row r="647" ht="30.75" customHeight="1"/>
    <row r="648" ht="30.75" customHeight="1"/>
    <row r="649" ht="30.75" customHeight="1"/>
    <row r="650" ht="30.75" customHeight="1"/>
    <row r="651" ht="30.75" customHeight="1"/>
    <row r="652" ht="30.75" customHeight="1"/>
    <row r="653" ht="30.75" customHeight="1"/>
    <row r="654" ht="30.75" customHeight="1"/>
    <row r="655" ht="30.75" customHeight="1"/>
    <row r="656" ht="30.75" customHeight="1"/>
    <row r="657" ht="30.75" customHeight="1"/>
    <row r="658" ht="30.75" customHeight="1"/>
    <row r="659" ht="30.75" customHeight="1"/>
    <row r="660" ht="30.75" customHeight="1"/>
    <row r="661" ht="30.75" customHeight="1"/>
    <row r="662" ht="30.75" customHeight="1"/>
    <row r="663" ht="30.75" customHeight="1"/>
    <row r="664" ht="30.75" customHeight="1"/>
    <row r="665" ht="30.75" customHeight="1"/>
    <row r="666" ht="30.75" customHeight="1"/>
    <row r="667" ht="30.75" customHeight="1"/>
    <row r="668" ht="30.75" customHeight="1"/>
    <row r="669" ht="30.75" customHeight="1"/>
    <row r="670" ht="30.75" customHeight="1"/>
    <row r="671" ht="30.75" customHeight="1"/>
    <row r="672" ht="30.75" customHeight="1"/>
    <row r="673" ht="30.75" customHeight="1"/>
    <row r="674" ht="30.75" customHeight="1"/>
    <row r="675" ht="30.75" customHeight="1"/>
    <row r="676" ht="30.75" customHeight="1"/>
    <row r="677" ht="30.75" customHeight="1"/>
    <row r="678" ht="30.75" customHeight="1"/>
    <row r="679" ht="30.75" customHeight="1"/>
    <row r="680" ht="30.75" customHeight="1"/>
    <row r="681" ht="30.75" customHeight="1"/>
    <row r="682" ht="30.75" customHeight="1"/>
    <row r="683" ht="30.75" customHeight="1"/>
    <row r="684" ht="30.75" customHeight="1"/>
    <row r="685" ht="30.75" customHeight="1"/>
    <row r="686" ht="30.75" customHeight="1"/>
    <row r="687" ht="30.75" customHeight="1"/>
    <row r="688" ht="30.75" customHeight="1"/>
    <row r="689" ht="30.75" customHeight="1"/>
    <row r="690" ht="30.75" customHeight="1"/>
    <row r="691" ht="30.75" customHeight="1"/>
    <row r="692" ht="30.75" customHeight="1"/>
    <row r="693" ht="30.75" customHeight="1"/>
    <row r="694" ht="30.75" customHeight="1"/>
    <row r="695" ht="30.75" customHeight="1"/>
    <row r="696" ht="30.75" customHeight="1"/>
    <row r="697" ht="30.75" customHeight="1"/>
    <row r="698" ht="30.75" customHeight="1"/>
    <row r="699" ht="30.75" customHeight="1"/>
    <row r="700" ht="30.75" customHeight="1"/>
    <row r="701" ht="30.75" customHeight="1"/>
    <row r="702" ht="30.75" customHeight="1"/>
    <row r="703" ht="30.75" customHeight="1"/>
    <row r="704" ht="30.75" customHeight="1"/>
    <row r="705" ht="30.75" customHeight="1"/>
    <row r="706" ht="30.75" customHeight="1"/>
    <row r="707" ht="30.75" customHeight="1"/>
    <row r="708" ht="30.75" customHeight="1"/>
    <row r="709" ht="30.75" customHeight="1"/>
    <row r="710" ht="30.75" customHeight="1"/>
    <row r="711" ht="30.75" customHeight="1"/>
    <row r="712" ht="30.75" customHeight="1"/>
    <row r="713" ht="30.75" customHeight="1"/>
    <row r="714" ht="30.75" customHeight="1"/>
    <row r="715" ht="30.75" customHeight="1"/>
    <row r="716" ht="30.75" customHeight="1"/>
    <row r="717" ht="30.75" customHeight="1"/>
    <row r="718" ht="30.75" customHeight="1"/>
    <row r="719" ht="30.75" customHeight="1"/>
    <row r="720" ht="30.75" customHeight="1"/>
    <row r="721" ht="30.75" customHeight="1"/>
    <row r="722" ht="30.75" customHeight="1"/>
    <row r="723" ht="30.75" customHeight="1"/>
    <row r="724" ht="30.75" customHeight="1"/>
    <row r="725" ht="30.75" customHeight="1"/>
    <row r="726" ht="30.75" customHeight="1"/>
    <row r="727" ht="30.75" customHeight="1"/>
    <row r="728" ht="30.75" customHeight="1"/>
    <row r="729" ht="30.75" customHeight="1"/>
    <row r="730" ht="30.75" customHeight="1"/>
    <row r="731" ht="30.75" customHeight="1"/>
    <row r="732" ht="30.75" customHeight="1"/>
    <row r="733" ht="30.75" customHeight="1"/>
    <row r="734" ht="30.75" customHeight="1"/>
    <row r="735" ht="30.75" customHeight="1"/>
    <row r="736" ht="30.75" customHeight="1"/>
    <row r="737" ht="30.75" customHeight="1"/>
    <row r="738" ht="30.75" customHeight="1"/>
    <row r="739" ht="30.75" customHeight="1"/>
    <row r="740" ht="30.75" customHeight="1"/>
    <row r="741" ht="30.75" customHeight="1"/>
    <row r="742" ht="30.75" customHeight="1"/>
    <row r="743" ht="30.75" customHeight="1"/>
    <row r="744" ht="30.75" customHeight="1"/>
    <row r="745" ht="30.75" customHeight="1"/>
    <row r="746" ht="30.75" customHeight="1"/>
    <row r="747" ht="30.75" customHeight="1"/>
    <row r="748" ht="30.75" customHeight="1"/>
    <row r="749" ht="30.75" customHeight="1"/>
    <row r="750" ht="30.75" customHeight="1"/>
    <row r="751" ht="30.75" customHeight="1"/>
    <row r="752" ht="30.75" customHeight="1"/>
    <row r="753" ht="30.75" customHeight="1"/>
    <row r="754" ht="30.75" customHeight="1"/>
    <row r="755" ht="30.75" customHeight="1"/>
    <row r="756" ht="30.75" customHeight="1"/>
    <row r="757" ht="30.75" customHeight="1"/>
    <row r="758" ht="30.75" customHeight="1"/>
    <row r="759" ht="30.75" customHeight="1"/>
    <row r="760" ht="30.75" customHeight="1"/>
    <row r="761" ht="30.75" customHeight="1"/>
    <row r="762" ht="30.75" customHeight="1"/>
    <row r="763" ht="30.75" customHeight="1"/>
    <row r="764" ht="30.75" customHeight="1"/>
    <row r="765" ht="30.75" customHeight="1"/>
    <row r="766" ht="30.75" customHeight="1"/>
    <row r="767" ht="30.75" customHeight="1"/>
    <row r="768" ht="30.75" customHeight="1"/>
    <row r="769" ht="30.75" customHeight="1"/>
    <row r="770" ht="30.75" customHeight="1"/>
    <row r="771" ht="30.75" customHeight="1"/>
    <row r="772" ht="30.75" customHeight="1"/>
    <row r="773" ht="30.75" customHeight="1"/>
    <row r="774" ht="30.75" customHeight="1"/>
    <row r="775" ht="30.75" customHeight="1"/>
    <row r="776" ht="30.75" customHeight="1"/>
    <row r="777" ht="30.75" customHeight="1"/>
    <row r="778" ht="30.75" customHeight="1"/>
    <row r="779" ht="30.75" customHeight="1"/>
    <row r="780" ht="30.75" customHeight="1"/>
    <row r="781" ht="30.75" customHeight="1"/>
    <row r="782" ht="30.75" customHeight="1"/>
    <row r="783" ht="30.75" customHeight="1"/>
    <row r="784" ht="30.75" customHeight="1"/>
    <row r="785" ht="30.75" customHeight="1"/>
    <row r="786" ht="30.75" customHeight="1"/>
    <row r="787" ht="30.75" customHeight="1"/>
    <row r="788" ht="30.75" customHeight="1"/>
    <row r="789" ht="30.75" customHeight="1"/>
    <row r="790" ht="30.75" customHeight="1"/>
    <row r="791" ht="30.75" customHeight="1"/>
    <row r="792" ht="30.75" customHeight="1"/>
    <row r="793" ht="30.75" customHeight="1"/>
    <row r="794" ht="30.75" customHeight="1"/>
    <row r="795" ht="30.75" customHeight="1"/>
    <row r="796" ht="30.75" customHeight="1"/>
    <row r="797" ht="30.75" customHeight="1"/>
    <row r="798" ht="30.75" customHeight="1"/>
    <row r="799" ht="30.75" customHeight="1"/>
    <row r="800" ht="30.75" customHeight="1"/>
    <row r="801" ht="30.75" customHeight="1"/>
    <row r="802" ht="30.75" customHeight="1"/>
    <row r="803" ht="30.75" customHeight="1"/>
    <row r="804" ht="30.75" customHeight="1"/>
    <row r="805" ht="30.75" customHeight="1"/>
    <row r="806" ht="30.75" customHeight="1"/>
    <row r="807" ht="30.75" customHeight="1"/>
    <row r="808" ht="30.75" customHeight="1"/>
    <row r="809" ht="30.75" customHeight="1"/>
    <row r="810" ht="30.75" customHeight="1"/>
    <row r="811" ht="30.75" customHeight="1"/>
    <row r="812" ht="30.75" customHeight="1"/>
    <row r="813" ht="30.75" customHeight="1"/>
    <row r="814" ht="30.75" customHeight="1"/>
    <row r="815" ht="30.75" customHeight="1"/>
    <row r="816" ht="30.75" customHeight="1"/>
    <row r="817" ht="30.75" customHeight="1"/>
    <row r="818" ht="30.75" customHeight="1"/>
    <row r="819" ht="30.75" customHeight="1"/>
    <row r="820" ht="30.75" customHeight="1"/>
    <row r="821" ht="30.75" customHeight="1"/>
    <row r="822" ht="30.75" customHeight="1"/>
    <row r="823" ht="30.75" customHeight="1"/>
    <row r="824" ht="30.75" customHeight="1"/>
    <row r="825" ht="30.75" customHeight="1"/>
    <row r="826" ht="30.75" customHeight="1"/>
    <row r="827" ht="30.75" customHeight="1"/>
    <row r="828" ht="30.75" customHeight="1"/>
    <row r="829" ht="30.75" customHeight="1"/>
    <row r="830" ht="30.75" customHeight="1"/>
    <row r="831" ht="30.75" customHeight="1"/>
    <row r="832" ht="30.75" customHeight="1"/>
    <row r="833" ht="30.75" customHeight="1"/>
    <row r="834" ht="30.75" customHeight="1"/>
    <row r="835" ht="30.75" customHeight="1"/>
    <row r="836" ht="30.75" customHeight="1"/>
    <row r="837" ht="30.75" customHeight="1"/>
    <row r="838" ht="30.75" customHeight="1"/>
    <row r="839" ht="30.75" customHeight="1"/>
    <row r="840" ht="30.75" customHeight="1"/>
    <row r="841" ht="30.75" customHeight="1"/>
    <row r="842" ht="30.75" customHeight="1"/>
    <row r="843" ht="30.75" customHeight="1"/>
    <row r="844" ht="30.75" customHeight="1"/>
    <row r="845" ht="30.75" customHeight="1"/>
    <row r="846" ht="30.75" customHeight="1"/>
    <row r="847" ht="30.75" customHeight="1"/>
    <row r="848" ht="30.75" customHeight="1"/>
    <row r="849" ht="30.75" customHeight="1"/>
    <row r="850" ht="30.75" customHeight="1"/>
    <row r="851" ht="30.75" customHeight="1"/>
    <row r="852" ht="30.75" customHeight="1"/>
    <row r="853" ht="30.75" customHeight="1"/>
    <row r="854" ht="30.75" customHeight="1"/>
    <row r="855" ht="30.75" customHeight="1"/>
    <row r="856" ht="30.75" customHeight="1"/>
    <row r="857" ht="30.75" customHeight="1"/>
    <row r="858" ht="30.75" customHeight="1"/>
    <row r="859" ht="30.75" customHeight="1"/>
    <row r="860" ht="30.75" customHeight="1"/>
    <row r="861" ht="30.75" customHeight="1"/>
    <row r="862" ht="30.75" customHeight="1"/>
    <row r="863" ht="30.75" customHeight="1"/>
    <row r="864" ht="30.75" customHeight="1"/>
    <row r="865" ht="30.75" customHeight="1"/>
    <row r="866" ht="30.75" customHeight="1"/>
    <row r="867" ht="30.75" customHeight="1"/>
    <row r="868" ht="30.75" customHeight="1"/>
    <row r="869" ht="30.75" customHeight="1"/>
    <row r="870" ht="30.75" customHeight="1"/>
    <row r="871" ht="30.75" customHeight="1"/>
    <row r="872" ht="30.75" customHeight="1"/>
    <row r="873" ht="30.75" customHeight="1"/>
    <row r="874" ht="30.75" customHeight="1"/>
    <row r="875" ht="30.75" customHeight="1"/>
    <row r="876" ht="30.75" customHeight="1"/>
    <row r="877" ht="30.75" customHeight="1"/>
    <row r="878" ht="30.75" customHeight="1"/>
    <row r="879" ht="30.75" customHeight="1"/>
    <row r="880" ht="30.75" customHeight="1"/>
    <row r="881" ht="30.75" customHeight="1"/>
    <row r="882" ht="30.75" customHeight="1"/>
    <row r="883" ht="30.75" customHeight="1"/>
    <row r="884" ht="30.75" customHeight="1"/>
    <row r="885" ht="30.75" customHeight="1"/>
    <row r="886" ht="30.75" customHeight="1"/>
    <row r="887" ht="30.75" customHeight="1"/>
    <row r="888" ht="30.75" customHeight="1"/>
    <row r="889" ht="30.75" customHeight="1"/>
    <row r="890" ht="30.75" customHeight="1"/>
    <row r="891" ht="30.75" customHeight="1"/>
    <row r="892" ht="30.75" customHeight="1"/>
    <row r="893" ht="30.75" customHeight="1"/>
    <row r="894" ht="30.75" customHeight="1"/>
    <row r="895" ht="30.75" customHeight="1"/>
    <row r="896" ht="30.75" customHeight="1"/>
    <row r="897" ht="30.75" customHeight="1"/>
    <row r="898" ht="30.75" customHeight="1"/>
    <row r="899" ht="30.75" customHeight="1"/>
    <row r="900" ht="30.75" customHeight="1"/>
    <row r="901" ht="30.75" customHeight="1"/>
    <row r="902" ht="30.75" customHeight="1"/>
    <row r="903" ht="30.75" customHeight="1"/>
    <row r="904" ht="30.75" customHeight="1"/>
    <row r="905" ht="30.75" customHeight="1"/>
    <row r="906" ht="30.75" customHeight="1"/>
    <row r="907" ht="30.75" customHeight="1"/>
    <row r="908" ht="30.75" customHeight="1"/>
    <row r="909" ht="30.75" customHeight="1"/>
    <row r="910" ht="30.75" customHeight="1"/>
    <row r="911" ht="30.75" customHeight="1"/>
    <row r="912" ht="30.75" customHeight="1"/>
    <row r="913" ht="30.75" customHeight="1"/>
    <row r="914" ht="30.75" customHeight="1"/>
    <row r="915" ht="30.75" customHeight="1"/>
    <row r="916" ht="30.75" customHeight="1"/>
    <row r="917" ht="30.75" customHeight="1"/>
    <row r="918" ht="30.75" customHeight="1"/>
    <row r="919" ht="30.75" customHeight="1"/>
    <row r="920" ht="30.75" customHeight="1"/>
    <row r="921" ht="30.75" customHeight="1"/>
    <row r="922" ht="30.75" customHeight="1"/>
    <row r="923" ht="30.75" customHeight="1"/>
    <row r="924" ht="30.75" customHeight="1"/>
    <row r="925" ht="30.75" customHeight="1"/>
    <row r="926" ht="30.75" customHeight="1"/>
    <row r="927" ht="30.75" customHeight="1"/>
    <row r="928" ht="30.75" customHeight="1"/>
    <row r="929" ht="30.75" customHeight="1"/>
    <row r="930" ht="30.75" customHeight="1"/>
    <row r="931" ht="30.75" customHeight="1"/>
    <row r="932" ht="30.75" customHeight="1"/>
    <row r="933" ht="30.75" customHeight="1"/>
    <row r="934" ht="30.75" customHeight="1"/>
    <row r="935" ht="30.75" customHeight="1"/>
    <row r="936" ht="30.75" customHeight="1"/>
    <row r="937" ht="30.75" customHeight="1"/>
    <row r="938" ht="30.75" customHeight="1"/>
    <row r="939" ht="30.75" customHeight="1"/>
    <row r="940" ht="30.75" customHeight="1"/>
    <row r="941" ht="30.75" customHeight="1"/>
    <row r="942" ht="30.75" customHeight="1"/>
    <row r="943" ht="30.75" customHeight="1"/>
    <row r="944" ht="30.75" customHeight="1"/>
    <row r="945" ht="30.75" customHeight="1"/>
    <row r="946" ht="30.75" customHeight="1"/>
    <row r="947" ht="30.75" customHeight="1"/>
    <row r="948" ht="30.75" customHeight="1"/>
    <row r="949" ht="30.75" customHeight="1"/>
    <row r="950" ht="30.75" customHeight="1"/>
    <row r="951" ht="30.75" customHeight="1"/>
    <row r="952" ht="30.75" customHeight="1"/>
    <row r="953" ht="30.75" customHeight="1"/>
    <row r="954" ht="30.75" customHeight="1"/>
    <row r="955" ht="30.75" customHeight="1"/>
    <row r="956" ht="30.75" customHeight="1"/>
    <row r="957" ht="30.75" customHeight="1"/>
    <row r="958" ht="30.75" customHeight="1"/>
    <row r="959" ht="30.75" customHeight="1"/>
    <row r="960" ht="30.75" customHeight="1"/>
    <row r="961" ht="30.75" customHeight="1"/>
    <row r="962" ht="30.75" customHeight="1"/>
    <row r="963" ht="30.75" customHeight="1"/>
    <row r="964" ht="30.75" customHeight="1"/>
    <row r="965" ht="30.75" customHeight="1"/>
    <row r="966" ht="30.75" customHeight="1"/>
    <row r="967" ht="30.75" customHeight="1"/>
    <row r="968" ht="30.75" customHeight="1"/>
    <row r="969" ht="30.75" customHeight="1"/>
    <row r="970" ht="30.75" customHeight="1"/>
    <row r="971" ht="30.75" customHeight="1"/>
    <row r="972" ht="30.75" customHeight="1"/>
    <row r="973" ht="30.75" customHeight="1"/>
    <row r="974" ht="30.75" customHeight="1"/>
    <row r="975" ht="30.75" customHeight="1"/>
    <row r="976" ht="30.75" customHeight="1"/>
    <row r="977" ht="30.75" customHeight="1"/>
    <row r="978" ht="30.75" customHeight="1"/>
    <row r="979" ht="30.75" customHeight="1"/>
    <row r="980" ht="30.75" customHeight="1"/>
    <row r="981" ht="30.75" customHeight="1"/>
    <row r="982" ht="30.75" customHeight="1"/>
    <row r="983" ht="30.75" customHeight="1"/>
    <row r="984" ht="30.75" customHeight="1"/>
    <row r="985" ht="30.75" customHeight="1"/>
    <row r="986" ht="30.75" customHeight="1"/>
    <row r="987" ht="30.75" customHeight="1"/>
    <row r="988" ht="30.75" customHeight="1"/>
    <row r="989" ht="30.75" customHeight="1"/>
    <row r="990" ht="30.75" customHeight="1"/>
    <row r="991" ht="30.75" customHeight="1"/>
    <row r="992" ht="30.75" customHeight="1"/>
    <row r="993" ht="30.75" customHeight="1"/>
    <row r="994" ht="30.75" customHeight="1"/>
    <row r="995" ht="30.75" customHeight="1"/>
    <row r="996" ht="30.75" customHeight="1"/>
    <row r="997" ht="30.75" customHeight="1"/>
    <row r="998" ht="30.75" customHeight="1"/>
    <row r="999" ht="30.75" customHeight="1"/>
    <row r="1000" ht="30.75" customHeight="1"/>
  </sheetData>
  <printOptions/>
  <pageMargins bottom="0.787401575" footer="0.0" header="0.0" left="0.7" right="0.7" top="0.787401575"/>
  <pageSetup orientation="landscape"/>
  <drawing r:id="rId1"/>
</worksheet>
</file>