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J:\ORM\!!! 4_Osp\!AP\AP 2025-2026\Vyhodnocení AP24-25\"/>
    </mc:Choice>
  </mc:AlternateContent>
  <xr:revisionPtr revIDLastSave="0" documentId="8_{7A3CC442-1B79-4E8E-A29B-FDCF0CA037B1}" xr6:coauthVersionLast="47" xr6:coauthVersionMax="47" xr10:uidLastSave="{00000000-0000-0000-0000-000000000000}"/>
  <bookViews>
    <workbookView xWindow="28680" yWindow="-120" windowWidth="29040" windowHeight="15990" activeTab="4" xr2:uid="{00000000-000D-0000-FFFF-FFFF00000000}"/>
  </bookViews>
  <sheets>
    <sheet name="Úvod" sheetId="1" r:id="rId1"/>
    <sheet name="A.Ekonomika" sheetId="2" r:id="rId2"/>
    <sheet name="B.Image" sheetId="4" r:id="rId3"/>
    <sheet name="C. Vyvážený rozvoj" sheetId="3" r:id="rId4"/>
    <sheet name="D.Soc" sheetId="5" r:id="rId5"/>
    <sheet name="Legenda koncepce" sheetId="7" r:id="rId6"/>
    <sheet name="K řešení" sheetId="6" state="hidden" r:id="rId7"/>
  </sheets>
  <definedNames>
    <definedName name="_xlnm._FilterDatabase" localSheetId="1" hidden="1">A.Ekonomika!$A$4:$K$33</definedName>
    <definedName name="_xlnm._FilterDatabase" localSheetId="2" hidden="1">B.Image!$A$4:$K$47</definedName>
    <definedName name="_xlnm._FilterDatabase" localSheetId="3" hidden="1">'C. Vyvážený rozvoj'!$A$4:$N$86</definedName>
    <definedName name="_xlnm._FilterDatabase" localSheetId="4" hidden="1">D.Soc!$A$4:$K$20</definedName>
    <definedName name="_xlnm.Print_Titles" localSheetId="1">A.Ekonomika!$2:$4</definedName>
    <definedName name="_xlnm.Print_Titles" localSheetId="2">B.Image!$2:$4</definedName>
    <definedName name="_xlnm.Print_Titles" localSheetId="3">'C. Vyvážený rozvoj'!$2:$4</definedName>
    <definedName name="_xlnm.Print_Titles" localSheetId="4">D.Soc!$2:$4</definedName>
    <definedName name="_xlnm.Print_Area" localSheetId="1">A.Ekonomika!$A$1:$K$33</definedName>
    <definedName name="_xlnm.Print_Area" localSheetId="2">B.Image!$A$1:$K$47</definedName>
    <definedName name="_xlnm.Print_Area" localSheetId="3">'C. Vyvážený rozvoj'!$A$1:$K$86</definedName>
    <definedName name="_xlnm.Print_Area" localSheetId="4">D.Soc!$A$1:$K$20</definedName>
    <definedName name="Z_0919DC40_70F7_46DB_9F44_D3AE0E183D1A_.wvu.Cols" localSheetId="1" hidden="1">A.Ekonomika!#REF!,A.Ekonomika!$L:$L</definedName>
    <definedName name="Z_0919DC40_70F7_46DB_9F44_D3AE0E183D1A_.wvu.Cols" localSheetId="2" hidden="1">B.Image!#REF!</definedName>
    <definedName name="Z_0919DC40_70F7_46DB_9F44_D3AE0E183D1A_.wvu.Cols" localSheetId="3" hidden="1">'C. Vyvážený rozvoj'!#REF!,'C. Vyvážený rozvoj'!$M:$M</definedName>
    <definedName name="Z_0919DC40_70F7_46DB_9F44_D3AE0E183D1A_.wvu.Cols" localSheetId="4" hidden="1">D.Soc!#REF!</definedName>
    <definedName name="Z_0919DC40_70F7_46DB_9F44_D3AE0E183D1A_.wvu.FilterData" localSheetId="1" hidden="1">A.Ekonomika!$A$4:$K$17</definedName>
    <definedName name="Z_0919DC40_70F7_46DB_9F44_D3AE0E183D1A_.wvu.FilterData" localSheetId="2" hidden="1">B.Image!$A$4:$K$16</definedName>
    <definedName name="Z_0919DC40_70F7_46DB_9F44_D3AE0E183D1A_.wvu.FilterData" localSheetId="3" hidden="1">'C. Vyvážený rozvoj'!$A$4:$N$58</definedName>
    <definedName name="Z_0919DC40_70F7_46DB_9F44_D3AE0E183D1A_.wvu.FilterData" localSheetId="4" hidden="1">D.Soc!$A$4:$K$20</definedName>
    <definedName name="Z_0919DC40_70F7_46DB_9F44_D3AE0E183D1A_.wvu.PrintArea" localSheetId="1" hidden="1">A.Ekonomika!$A$1:$H$17</definedName>
    <definedName name="Z_0919DC40_70F7_46DB_9F44_D3AE0E183D1A_.wvu.PrintArea" localSheetId="2" hidden="1">B.Image!$A$1:$H$16</definedName>
    <definedName name="Z_0919DC40_70F7_46DB_9F44_D3AE0E183D1A_.wvu.PrintArea" localSheetId="3" hidden="1">'C. Vyvážený rozvoj'!$A$1:$H$58</definedName>
    <definedName name="Z_0919DC40_70F7_46DB_9F44_D3AE0E183D1A_.wvu.PrintArea" localSheetId="4" hidden="1">D.Soc!$A$1:$H$20</definedName>
    <definedName name="Z_0919DC40_70F7_46DB_9F44_D3AE0E183D1A_.wvu.PrintTitles" localSheetId="1" hidden="1">A.Ekonomika!$2:$4</definedName>
    <definedName name="Z_0919DC40_70F7_46DB_9F44_D3AE0E183D1A_.wvu.PrintTitles" localSheetId="2" hidden="1">B.Image!$2:$4</definedName>
    <definedName name="Z_0919DC40_70F7_46DB_9F44_D3AE0E183D1A_.wvu.PrintTitles" localSheetId="3" hidden="1">'C. Vyvážený rozvoj'!$2:$4</definedName>
    <definedName name="Z_0919DC40_70F7_46DB_9F44_D3AE0E183D1A_.wvu.PrintTitles" localSheetId="4" hidden="1">D.Soc!$2:$4</definedName>
  </definedNames>
  <calcPr calcId="191029" calcMode="manual"/>
  <customWorkbookViews>
    <customWorkbookView name="simeckol - vlastní zobrazení" guid="{0919DC40-70F7-46DB-9F44-D3AE0E183D1A}" mergeInterval="0" personalView="1" maximized="1" windowWidth="1362" windowHeight="597" activeSheetId="5"/>
  </customWorkbookViews>
</workbook>
</file>

<file path=xl/calcChain.xml><?xml version="1.0" encoding="utf-8"?>
<calcChain xmlns="http://schemas.openxmlformats.org/spreadsheetml/2006/main">
  <c r="F9" i="3" l="1"/>
  <c r="F15" i="4"/>
  <c r="F78" i="3"/>
  <c r="G22" i="5"/>
  <c r="F19" i="3" l="1"/>
  <c r="F25" i="4"/>
  <c r="F24" i="4"/>
  <c r="F19" i="4"/>
  <c r="F12" i="4"/>
  <c r="G35" i="2"/>
  <c r="F22" i="4"/>
  <c r="F6" i="5"/>
  <c r="F22" i="5" s="1"/>
  <c r="F80" i="3"/>
  <c r="F77" i="3"/>
  <c r="F48" i="3"/>
  <c r="F34" i="3"/>
  <c r="F23" i="3"/>
  <c r="F27" i="3"/>
  <c r="F12" i="3"/>
  <c r="F8" i="3"/>
  <c r="F38" i="4" l="1"/>
  <c r="F22" i="2"/>
  <c r="F35" i="2" s="1"/>
  <c r="F45" i="4"/>
  <c r="G49" i="4" s="1"/>
  <c r="F49" i="4" l="1"/>
</calcChain>
</file>

<file path=xl/sharedStrings.xml><?xml version="1.0" encoding="utf-8"?>
<sst xmlns="http://schemas.openxmlformats.org/spreadsheetml/2006/main" count="1214" uniqueCount="565">
  <si>
    <r>
      <t xml:space="preserve">Letní koupaliště - </t>
    </r>
    <r>
      <rPr>
        <sz val="11"/>
        <rFont val="Calibri"/>
        <family val="2"/>
        <charset val="238"/>
      </rPr>
      <t>rekonstrukce (příprava dílčích etap)</t>
    </r>
  </si>
  <si>
    <r>
      <t xml:space="preserve">Dětská hřiště - </t>
    </r>
    <r>
      <rPr>
        <sz val="11"/>
        <rFont val="Calibri"/>
        <family val="2"/>
        <charset val="238"/>
      </rPr>
      <t>obnova herních prvků, likvidace nevyužívaných ploch</t>
    </r>
  </si>
  <si>
    <t>Vyhodnocení</t>
  </si>
  <si>
    <t>splněno</t>
  </si>
  <si>
    <t>zahájeno</t>
  </si>
  <si>
    <t>nezahájeno</t>
  </si>
  <si>
    <t>usnesení RM/ZM</t>
  </si>
  <si>
    <t>Opatření dle strategického plánu</t>
  </si>
  <si>
    <r>
      <t>Dopravní studie na ul. Sportovní, Pionýrská a Pod Bílou horou</t>
    </r>
    <r>
      <rPr>
        <sz val="11"/>
        <rFont val="Calibri"/>
        <family val="2"/>
        <charset val="238"/>
      </rPr>
      <t xml:space="preserve"> - příprava propojení ulic PBh a Sportovní - PD</t>
    </r>
  </si>
  <si>
    <t xml:space="preserve">OMM </t>
  </si>
  <si>
    <t>schválený návrh</t>
  </si>
  <si>
    <t>usnesení orgánů</t>
  </si>
  <si>
    <t>Název aktivity/projektu</t>
  </si>
  <si>
    <t>Odpovědnost</t>
  </si>
  <si>
    <t>OMM</t>
  </si>
  <si>
    <t>Ekonomika a podnikání</t>
  </si>
  <si>
    <t>Sociální zázemí</t>
  </si>
  <si>
    <t>ORM</t>
  </si>
  <si>
    <t>OSV</t>
  </si>
  <si>
    <t>Indikátor výsledku</t>
  </si>
  <si>
    <t>realizace akcí</t>
  </si>
  <si>
    <t>realizace akce</t>
  </si>
  <si>
    <t>realizace opatření</t>
  </si>
  <si>
    <t>zpracovaná PD</t>
  </si>
  <si>
    <t>příprava</t>
  </si>
  <si>
    <t>realizace</t>
  </si>
  <si>
    <t>OMM / ORM</t>
  </si>
  <si>
    <t>OŠKS</t>
  </si>
  <si>
    <t>Poznámka</t>
  </si>
  <si>
    <t>OMM / OŽP</t>
  </si>
  <si>
    <r>
      <t xml:space="preserve">Krytý bazén - </t>
    </r>
    <r>
      <rPr>
        <sz val="11"/>
        <rFont val="Calibri"/>
        <family val="2"/>
        <charset val="238"/>
      </rPr>
      <t xml:space="preserve">rekonstrukce </t>
    </r>
    <r>
      <rPr>
        <b/>
        <sz val="11"/>
        <rFont val="Calibri"/>
        <family val="2"/>
        <charset val="238"/>
      </rPr>
      <t>osvětlení</t>
    </r>
    <r>
      <rPr>
        <sz val="11"/>
        <rFont val="Calibri"/>
        <family val="2"/>
        <charset val="238"/>
      </rPr>
      <t xml:space="preserve"> </t>
    </r>
  </si>
  <si>
    <t>příprava akce</t>
  </si>
  <si>
    <r>
      <t>Intenzifikace parkování</t>
    </r>
    <r>
      <rPr>
        <sz val="11"/>
        <rFont val="Calibri"/>
        <family val="2"/>
        <charset val="238"/>
      </rPr>
      <t>/změna organizace dopravy ve vybraných lokalitách - realizace dílčích opatření</t>
    </r>
  </si>
  <si>
    <r>
      <t>Rozšíření parkovacích ploch u krytého bazénu -</t>
    </r>
    <r>
      <rPr>
        <sz val="11"/>
        <rFont val="Calibri"/>
        <family val="2"/>
        <charset val="238"/>
      </rPr>
      <t xml:space="preserve"> řešení majetkových vztahů s MSK, příprava PD</t>
    </r>
  </si>
  <si>
    <r>
      <t xml:space="preserve">Převedení jednotné </t>
    </r>
    <r>
      <rPr>
        <b/>
        <sz val="11"/>
        <rFont val="Calibri"/>
        <family val="2"/>
        <charset val="238"/>
      </rPr>
      <t>kanalizace v MČ</t>
    </r>
    <r>
      <rPr>
        <sz val="11"/>
        <rFont val="Calibri"/>
        <family val="2"/>
        <charset val="238"/>
      </rPr>
      <t xml:space="preserve"> do režimu dešťové - kontrola stávajícího stavu</t>
    </r>
  </si>
  <si>
    <r>
      <t xml:space="preserve">Zorganizování </t>
    </r>
    <r>
      <rPr>
        <b/>
        <sz val="11"/>
        <rFont val="Calibri"/>
        <family val="2"/>
        <charset val="238"/>
      </rPr>
      <t xml:space="preserve">společného nákupu energií </t>
    </r>
    <r>
      <rPr>
        <sz val="11"/>
        <rFont val="Calibri"/>
        <family val="2"/>
        <charset val="238"/>
      </rPr>
      <t>pro veřejnost - 2023</t>
    </r>
  </si>
  <si>
    <t>zpracovaná studie</t>
  </si>
  <si>
    <r>
      <t xml:space="preserve">Most Lubina u KD - </t>
    </r>
    <r>
      <rPr>
        <sz val="11"/>
        <rFont val="Calibri"/>
        <family val="2"/>
        <charset val="238"/>
      </rPr>
      <t>bezpečnostní opatření/organizace dopravy - návrh/studie řešení</t>
    </r>
  </si>
  <si>
    <r>
      <t>Řešení parkování na sídlišti Sever</t>
    </r>
    <r>
      <rPr>
        <sz val="11"/>
        <rFont val="Calibri"/>
        <family val="2"/>
        <charset val="238"/>
      </rPr>
      <t xml:space="preserve"> - realizace dílčích projektů - dočasná parkovací plocha vedle hřiště ZŠ 17. listopadu</t>
    </r>
  </si>
  <si>
    <r>
      <t>Rozvojová lokalita Kopřivnice Západ</t>
    </r>
    <r>
      <rPr>
        <sz val="11"/>
        <rFont val="Calibri"/>
        <family val="2"/>
        <charset val="238"/>
      </rPr>
      <t xml:space="preserve"> - rozvoj území ve spolupráci se soukromým investorem, výběr investora</t>
    </r>
  </si>
  <si>
    <t>pozastaveno</t>
  </si>
  <si>
    <t>A.1 Podnikavost v Kopřivnici</t>
  </si>
  <si>
    <t>A.1.1 Rozšíření nabídky podnikatelských prostor</t>
  </si>
  <si>
    <t>A.1.4 Propagace řemesel a podnikání, zvýšení zájmu o podnikání, vstřícnost města k podnikatelům</t>
  </si>
  <si>
    <t>A.1.2 Spolupráce s MSIC</t>
  </si>
  <si>
    <t>A.1.5 Motivační program pro podnikatele v centru města</t>
  </si>
  <si>
    <t>A.2 Péče o investory</t>
  </si>
  <si>
    <t>A.2.1 Pravidelná komunikace s podniky</t>
  </si>
  <si>
    <t>A.2.2 Vybudování zázemí průmyslové zóny</t>
  </si>
  <si>
    <t>A.2.3. Nové pozemky/nová lokalita pro průmyslový rozvoj</t>
  </si>
  <si>
    <t>A.2.4 Revitalizace lokality "starého závodu Tatry"</t>
  </si>
  <si>
    <t>A.2.5 Vytváření podmínek pro příchod nových obyvatel do Kopřivnice</t>
  </si>
  <si>
    <t>A.3.1 Rozvoj infrastruktury pro formální, zájmové a neformální vzdělávání</t>
  </si>
  <si>
    <t>A.3.2 Vzdělávání zaměřené na kompetence a individuální přístup, podpora polytechnického vzdělávání</t>
  </si>
  <si>
    <t>A.3.3 Zvýšení prestiže místní střední školy</t>
  </si>
  <si>
    <t>A.3.4 Kvalitní nabídka dalšího vzdělávání</t>
  </si>
  <si>
    <t>A.2.6 Vytvoření personálních a organizačních kapacit ve struktuře MÚ</t>
  </si>
  <si>
    <t>A.3 Flexibilní a vzdělaní lidé</t>
  </si>
  <si>
    <t>Odhad souhrnných nákladů r. 2024</t>
  </si>
  <si>
    <t>Přitažlivost/Image města a veřejný život</t>
  </si>
  <si>
    <t>B.1 Atraktivní a bezpečné prostředí města</t>
  </si>
  <si>
    <t>B.1.1 Revitalizace významných veřejných prostranství mimo centrum města</t>
  </si>
  <si>
    <t>B.1.2 Rekonstrukce a využití nefungujících, problematických budov ve vlastnictví města</t>
  </si>
  <si>
    <t>B.1.3 Místní kulturní dědictví a jeho využití</t>
  </si>
  <si>
    <t>B.2 Centrální zóna = atraktivní živé místo</t>
  </si>
  <si>
    <t>B.2.2 Motivace vlastníků objektů v centru města k pestrému funkčnímu mixu</t>
  </si>
  <si>
    <t>B.3 Příležitosti pro trávení volného času</t>
  </si>
  <si>
    <t>B.3.1 Rozvoj a modernizace kulturního domu</t>
  </si>
  <si>
    <t>B.3.2 Vytvoření moderní knihovny</t>
  </si>
  <si>
    <t>B.3.3 Kvalitní infrastruktura pro sport a trávení volného času</t>
  </si>
  <si>
    <t>B.3.4 Atraktivní nabídka kulturních, společenských a sportovních aktivit</t>
  </si>
  <si>
    <t>B.3.5 Spolupráce mezi aktéry, kteří nabízí volnočasové aktivity a zvýšení informovanosti o volnočasových aktivitách ve městě</t>
  </si>
  <si>
    <t>B.4 Kopřivnice = zajímavá destinace</t>
  </si>
  <si>
    <t>B.4.2 Zlepšení orientačního a navigačního systému ve městě</t>
  </si>
  <si>
    <t>B.4.3 Rozšíření spolupráce s LBB a DM B-V, aktualizace stávajících a vznik nových cestovních produktů</t>
  </si>
  <si>
    <t>B.4.4 Další rozvoj muzeí a optimalizace jejich správy</t>
  </si>
  <si>
    <t>B.4.7 Spolupráce subjektů na území města a s okolními městy při tvorbě a zlepšení mediálního obrazu města</t>
  </si>
  <si>
    <t>B.4.5 Doplnění stávajících cyklotras a pěších tras v okolí Kopřivnice</t>
  </si>
  <si>
    <t>Vyvážený rozvoj</t>
  </si>
  <si>
    <t>C.1 Plynulá a bezpečná doprava</t>
  </si>
  <si>
    <t>C.1.2 Obchvat Vlčovic na silnici I/58</t>
  </si>
  <si>
    <t>C. 2 Alternativní doprava</t>
  </si>
  <si>
    <t>C.2.1 Zlepšení obslužnosti hromadnou dopravou</t>
  </si>
  <si>
    <t>C.2.2 Inkluzivní mobilita</t>
  </si>
  <si>
    <t>C.2.4 Parkování ve městě</t>
  </si>
  <si>
    <t>C.3 Příležitosti pro bydlení</t>
  </si>
  <si>
    <t>C.3.3 Podpora individuální bytové výstavby</t>
  </si>
  <si>
    <t>C.3.4 Dostupné bydlení pro osoby v bytové nouzi</t>
  </si>
  <si>
    <t>C.4.1 Kvalitní páteřní technická infrastruktura</t>
  </si>
  <si>
    <t>C.4.2 Úsporné a účelné veřejné osvětlení</t>
  </si>
  <si>
    <t>C.5.1 Rozšiřování stávajících způsobů třídění a sběru odpadů</t>
  </si>
  <si>
    <t>C.5.2 Realizace opatření ke snižování množství odpadu a identifikace možností a testování využití odpadů</t>
  </si>
  <si>
    <t>C.5.3 Optimalizace systému nakládání s komunálními odpady</t>
  </si>
  <si>
    <t>C.5.4 Zadržování a využívání srážkové vody</t>
  </si>
  <si>
    <t>C. 5.5 Udržení a zkvalitnění městské zeleně</t>
  </si>
  <si>
    <t>C.5.6 Komunitní energetika</t>
  </si>
  <si>
    <t>C. 5.7. Snižování energetické náročnosti budov</t>
  </si>
  <si>
    <t>C.5 Zdravá Kopřivnice a odolnost vůči změně klimatu</t>
  </si>
  <si>
    <t>C.6.1 Otevřený a bezpečný úřad</t>
  </si>
  <si>
    <t>C.6.2 Krizový management</t>
  </si>
  <si>
    <t>C.6 Efektivní veřejná správa a krizový management</t>
  </si>
  <si>
    <t>Strategický cíl</t>
  </si>
  <si>
    <r>
      <t xml:space="preserve">Veřejné prostranství u KD Mniší - </t>
    </r>
    <r>
      <rPr>
        <sz val="11"/>
        <rFont val="Calibri"/>
        <family val="2"/>
        <charset val="238"/>
      </rPr>
      <t xml:space="preserve">studie řešení </t>
    </r>
  </si>
  <si>
    <t>???</t>
  </si>
  <si>
    <r>
      <t>Vybudování parkourového hřiště -</t>
    </r>
    <r>
      <rPr>
        <sz val="11"/>
        <rFont val="Calibri"/>
        <family val="2"/>
        <charset val="238"/>
      </rPr>
      <t xml:space="preserve"> výběr lokality</t>
    </r>
  </si>
  <si>
    <t>OŠK</t>
  </si>
  <si>
    <r>
      <t>Aktivní senior</t>
    </r>
    <r>
      <rPr>
        <sz val="11"/>
        <rFont val="Calibri"/>
        <family val="2"/>
        <charset val="238"/>
      </rPr>
      <t xml:space="preserve"> - soubor kulturních sportovních a vzdělávacích akcí pro seniory</t>
    </r>
  </si>
  <si>
    <t>realizace aktivit</t>
  </si>
  <si>
    <r>
      <t>Udržení atraktivity Technického muzea</t>
    </r>
    <r>
      <rPr>
        <sz val="11"/>
        <rFont val="Calibri"/>
        <family val="2"/>
        <charset val="238"/>
      </rPr>
      <t xml:space="preserve"> - příprava koncepce muzea s ohledem na vznik nové expozice</t>
    </r>
  </si>
  <si>
    <t>OŠKS / starosta</t>
  </si>
  <si>
    <t>usnesení ZM</t>
  </si>
  <si>
    <r>
      <t xml:space="preserve">Parkoviště ul. Školní - </t>
    </r>
    <r>
      <rPr>
        <sz val="11"/>
        <rFont val="Calibri"/>
        <family val="2"/>
        <charset val="238"/>
      </rPr>
      <t>realizace opatření Dopravní studie na ul. Sportovní, Pionýrská a Pod Bílou horou</t>
    </r>
  </si>
  <si>
    <r>
      <t xml:space="preserve">Cyklistická stezka  </t>
    </r>
    <r>
      <rPr>
        <b/>
        <sz val="11"/>
        <rFont val="Calibri"/>
        <family val="2"/>
        <charset val="238"/>
      </rPr>
      <t>Vlčovice - Lichnov</t>
    </r>
    <r>
      <rPr>
        <sz val="11"/>
        <rFont val="Calibri"/>
        <family val="2"/>
        <charset val="238"/>
      </rPr>
      <t xml:space="preserve"> - ověření alternativní trasy</t>
    </r>
  </si>
  <si>
    <r>
      <t xml:space="preserve">Chodník </t>
    </r>
    <r>
      <rPr>
        <b/>
        <sz val="11"/>
        <rFont val="Calibri"/>
        <family val="2"/>
        <charset val="238"/>
      </rPr>
      <t>ul. Janáčkova</t>
    </r>
    <r>
      <rPr>
        <sz val="11"/>
        <rFont val="Calibri"/>
        <family val="2"/>
        <charset val="238"/>
      </rPr>
      <t xml:space="preserve"> - aktualizace PD + pozemky</t>
    </r>
  </si>
  <si>
    <t>ORM / OMM</t>
  </si>
  <si>
    <r>
      <rPr>
        <b/>
        <sz val="11"/>
        <rFont val="Calibri"/>
        <family val="2"/>
        <charset val="238"/>
      </rPr>
      <t xml:space="preserve">Chodník Lubina </t>
    </r>
    <r>
      <rPr>
        <sz val="11"/>
        <rFont val="Calibri"/>
        <family val="2"/>
        <charset val="238"/>
      </rPr>
      <t>- lokalita od HZ Větřkovice k točně (směr Hájov)</t>
    </r>
  </si>
  <si>
    <r>
      <rPr>
        <b/>
        <sz val="11"/>
        <rFont val="Calibri"/>
        <family val="2"/>
        <charset val="238"/>
      </rPr>
      <t xml:space="preserve">Lávka pro pěší KD Lubina </t>
    </r>
    <r>
      <rPr>
        <sz val="11"/>
        <rFont val="Calibri"/>
        <family val="2"/>
        <charset val="238"/>
      </rPr>
      <t>- vyhledávací studie</t>
    </r>
  </si>
  <si>
    <r>
      <rPr>
        <b/>
        <sz val="11"/>
        <rFont val="Calibri"/>
        <family val="2"/>
        <charset val="238"/>
      </rPr>
      <t>Ul. Štefánikova</t>
    </r>
    <r>
      <rPr>
        <sz val="11"/>
        <rFont val="Calibri"/>
        <family val="2"/>
        <charset val="238"/>
      </rPr>
      <t xml:space="preserve"> - příprava komplexní rekonstrukce (úsek od vily Machů před MÚ)</t>
    </r>
  </si>
  <si>
    <r>
      <t xml:space="preserve">Stavební úprava slepé části </t>
    </r>
    <r>
      <rPr>
        <b/>
        <sz val="11"/>
        <rFont val="Calibri"/>
        <family val="2"/>
        <charset val="238"/>
      </rPr>
      <t>ulice Zd.Buriana před MŠ Jeřabinka</t>
    </r>
    <r>
      <rPr>
        <sz val="11"/>
        <rFont val="Calibri"/>
        <family val="2"/>
        <charset val="238"/>
      </rPr>
      <t xml:space="preserve"> (parkování, chodník, VO) - projednání způsobu řešení, PD</t>
    </r>
  </si>
  <si>
    <r>
      <t xml:space="preserve">Stavební úpravy autobusových zastávek (ul. Pod stadionem a Tatra vrát. č. 2) - </t>
    </r>
    <r>
      <rPr>
        <sz val="11"/>
        <rFont val="Calibri"/>
        <family val="2"/>
        <charset val="238"/>
      </rPr>
      <t>PD</t>
    </r>
  </si>
  <si>
    <r>
      <t xml:space="preserve">Podpora sdílení dopravních prostředků na území města </t>
    </r>
    <r>
      <rPr>
        <sz val="11"/>
        <rFont val="Calibri"/>
        <family val="2"/>
        <charset val="238"/>
      </rPr>
      <t>- spolupráce se soukromým provozovatelem</t>
    </r>
  </si>
  <si>
    <r>
      <t>Autobusová linka na vlakové nádraží v Hranicích</t>
    </r>
    <r>
      <rPr>
        <sz val="11"/>
        <rFont val="Calibri"/>
        <family val="2"/>
        <charset val="238"/>
      </rPr>
      <t xml:space="preserve"> - spolupráce s okolními obcemi a MSK - provoz pravidelných spojů</t>
    </r>
  </si>
  <si>
    <t>spolupráce s investory</t>
  </si>
  <si>
    <t>OŽP</t>
  </si>
  <si>
    <r>
      <t>MŠ Záhumenní -</t>
    </r>
    <r>
      <rPr>
        <sz val="11"/>
        <rFont val="Calibri"/>
        <family val="2"/>
        <charset val="238"/>
      </rPr>
      <t xml:space="preserve"> řešení energetických opatření vč. přístřešku nad vchod</t>
    </r>
  </si>
  <si>
    <r>
      <t xml:space="preserve">MŠ Mniší - </t>
    </r>
    <r>
      <rPr>
        <sz val="11"/>
        <rFont val="Calibri"/>
        <family val="2"/>
        <charset val="238"/>
      </rPr>
      <t>řešení energetických opatření</t>
    </r>
  </si>
  <si>
    <r>
      <t>Řešení bývalé skládky KBV za ČOV s cílem ukončení vynětí území ze ZPF -</t>
    </r>
    <r>
      <rPr>
        <sz val="11"/>
        <rFont val="Calibri"/>
        <family val="2"/>
        <charset val="238"/>
      </rPr>
      <t xml:space="preserve"> jednání s vlastníky pozemků, zajištění trvalého vynění ze ZPF za účelem zachování stávajícího stavu</t>
    </r>
  </si>
  <si>
    <r>
      <t xml:space="preserve">Aktualizace pasportu a inventarizace zeleně </t>
    </r>
    <r>
      <rPr>
        <sz val="11"/>
        <rFont val="Calibri"/>
        <family val="2"/>
        <charset val="238"/>
      </rPr>
      <t>- mapování zeleně v Kopřivnici a MČ - ošetření a ořez, popř. kácení</t>
    </r>
  </si>
  <si>
    <t>B.2.1 Revitalizace veřejných prostranství navázaných na nově dokončené centrum města</t>
  </si>
  <si>
    <r>
      <t>Regenerace sadu E. Beneše</t>
    </r>
    <r>
      <rPr>
        <sz val="11"/>
        <rFont val="Calibri"/>
        <family val="2"/>
        <charset val="238"/>
      </rPr>
      <t xml:space="preserve"> (chodníky, zeleň, VO,…) - projednání návrhu studie řešení lokality </t>
    </r>
  </si>
  <si>
    <t>ORM / OŽP</t>
  </si>
  <si>
    <t>D. 1 Sociální služby a aktivity pro potřebné cílové skupiny</t>
  </si>
  <si>
    <t>D. 1.1 Spolupracující síť sociálních služeb</t>
  </si>
  <si>
    <t>D. 1.2 Péče o osoby v seniorském věku, osob se zdravotním postižením a podpora pečujících osob</t>
  </si>
  <si>
    <t>D.1.3 Volnočasové aktivity pro osoby se zdravotním postižením</t>
  </si>
  <si>
    <t>D.1.4 Péče o osoby s duševním onemocněním</t>
  </si>
  <si>
    <t>D. 2 Výchova k bezpečí a primární prevence rizikového chování dětí a mládeže</t>
  </si>
  <si>
    <t>D.2.1 Efektivní programy prevence rizikového chování u dětí a mládeže</t>
  </si>
  <si>
    <t>D. 2.2 Informovanost, výchova k bezpečí</t>
  </si>
  <si>
    <t>kolaudace</t>
  </si>
  <si>
    <t>R</t>
  </si>
  <si>
    <t>ORM / OŠK</t>
  </si>
  <si>
    <r>
      <t xml:space="preserve">Parkoviště Dukelská - </t>
    </r>
    <r>
      <rPr>
        <sz val="11"/>
        <rFont val="Calibri"/>
        <family val="2"/>
        <charset val="238"/>
      </rPr>
      <t>demolice VS, výstavba parkoviště - příprava a realizace</t>
    </r>
  </si>
  <si>
    <t>realizace projektu</t>
  </si>
  <si>
    <r>
      <t>Podpora systematické práce s nadanými dětmi</t>
    </r>
    <r>
      <rPr>
        <sz val="11"/>
        <rFont val="Calibri"/>
        <family val="2"/>
        <charset val="238"/>
      </rPr>
      <t xml:space="preserve"> (Klub nadaných dětí BADY, spolupráce s MENSOU a Světem vzdělání, …)</t>
    </r>
  </si>
  <si>
    <t>ZŠ p.o.</t>
  </si>
  <si>
    <t>počet dětí na semin.</t>
  </si>
  <si>
    <r>
      <t>Technicky zaměřené kroužky v DDM</t>
    </r>
    <r>
      <rPr>
        <sz val="11"/>
        <rFont val="Calibri"/>
        <family val="2"/>
        <charset val="238"/>
      </rPr>
      <t xml:space="preserve"> - realizace</t>
    </r>
  </si>
  <si>
    <t>DDM</t>
  </si>
  <si>
    <t>realizace kroužků</t>
  </si>
  <si>
    <t>realizace, poč.účast.</t>
  </si>
  <si>
    <r>
      <t xml:space="preserve">Spolupráce v rámci </t>
    </r>
    <r>
      <rPr>
        <b/>
        <sz val="11"/>
        <rFont val="Calibri"/>
        <family val="2"/>
        <charset val="238"/>
      </rPr>
      <t>Rady pro rozvoj lidských zdrojů</t>
    </r>
  </si>
  <si>
    <t>OVV</t>
  </si>
  <si>
    <t>4 schůzky</t>
  </si>
  <si>
    <t>realizace setkání</t>
  </si>
  <si>
    <t>A.1.3 Podpora vzniku nových podnikatelských aktivit, poradenství a služby pro podnikání</t>
  </si>
  <si>
    <t>2024-PD</t>
  </si>
  <si>
    <r>
      <t xml:space="preserve">BD Školní 891 - </t>
    </r>
    <r>
      <rPr>
        <sz val="11"/>
        <rFont val="Calibri"/>
        <family val="2"/>
        <charset val="238"/>
      </rPr>
      <t>oprava střechy</t>
    </r>
  </si>
  <si>
    <r>
      <t xml:space="preserve">Edukace v oblasti architektury a estetiky prostředí - </t>
    </r>
    <r>
      <rPr>
        <sz val="11"/>
        <rFont val="Calibri"/>
        <family val="2"/>
        <charset val="238"/>
      </rPr>
      <t xml:space="preserve"> vzdělávací program pro děti MŠ</t>
    </r>
  </si>
  <si>
    <r>
      <t>ZŠ Náměstí</t>
    </r>
    <r>
      <rPr>
        <sz val="11"/>
        <rFont val="Calibri"/>
        <family val="2"/>
        <charset val="238"/>
      </rPr>
      <t xml:space="preserve"> -</t>
    </r>
    <r>
      <rPr>
        <sz val="11"/>
        <color rgb="FFFF0000"/>
        <rFont val="Calibri"/>
        <family val="2"/>
        <charset val="238"/>
      </rPr>
      <t xml:space="preserve"> rozhodnutí o způsobu využití objektu historické budovy (např. knihovna, příp. byty) - aktualizace studie</t>
    </r>
  </si>
  <si>
    <t>SUP</t>
  </si>
  <si>
    <r>
      <t>Příprava zavedení II. etapy</t>
    </r>
    <r>
      <rPr>
        <sz val="11"/>
        <rFont val="Calibri"/>
        <family val="2"/>
        <charset val="238"/>
      </rPr>
      <t xml:space="preserve"> DOOR to DOOR - nádoby na papír, </t>
    </r>
    <r>
      <rPr>
        <sz val="11"/>
        <color rgb="FFFF0000"/>
        <rFont val="Calibri"/>
        <family val="2"/>
        <charset val="238"/>
      </rPr>
      <t>příp. příprava žádosti o dotaci</t>
    </r>
  </si>
  <si>
    <r>
      <t xml:space="preserve">Přehlídka volnočasových aktivit </t>
    </r>
    <r>
      <rPr>
        <sz val="11"/>
        <rFont val="Calibri"/>
        <family val="2"/>
        <charset val="238"/>
      </rPr>
      <t xml:space="preserve">- realizace aktivity </t>
    </r>
  </si>
  <si>
    <t>ORM/OMM</t>
  </si>
  <si>
    <t>Slumeko má schválenou žádost o dotaci, jsou problémy se zadáním svozu - posouzení dle ZVZ, inhouse, …</t>
  </si>
  <si>
    <t>OMM / SpSK</t>
  </si>
  <si>
    <t>definice zadání - projednání ve zřízení komise pro VP</t>
  </si>
  <si>
    <t>vypustit</t>
  </si>
  <si>
    <t>nechat</t>
  </si>
  <si>
    <t>V rozpočtu jsou finance na PD na knihovnu, ale stále se zvažuje možnost rekonstukce na byty? Půříprava projektu dle rozhodnutí</t>
  </si>
  <si>
    <t>projednání studie a realizace dle rozhodntí</t>
  </si>
  <si>
    <t>bez propojení</t>
  </si>
  <si>
    <t>alternativa</t>
  </si>
  <si>
    <t>vymazat</t>
  </si>
  <si>
    <t>kopmise</t>
  </si>
  <si>
    <t>ano</t>
  </si>
  <si>
    <t>Příprava expozice Zd. Buriana - připomenutí výročí narození</t>
  </si>
  <si>
    <t>podpora zvyšování kapacity předškolního vzdělávání</t>
  </si>
  <si>
    <t>2024 - PD</t>
  </si>
  <si>
    <r>
      <rPr>
        <b/>
        <sz val="11"/>
        <rFont val="Calibri"/>
        <family val="2"/>
        <charset val="238"/>
      </rPr>
      <t>Ul. Štefánikova</t>
    </r>
    <r>
      <rPr>
        <sz val="11"/>
        <rFont val="Calibri"/>
        <family val="2"/>
        <charset val="238"/>
      </rPr>
      <t xml:space="preserve"> - příprava komplexní rekonstrukce (úsek od vily Machů před MÚ) - definice zadání v rámci komise pro VP</t>
    </r>
  </si>
  <si>
    <t>schválené zadání</t>
  </si>
  <si>
    <r>
      <t xml:space="preserve">Ul. Školní (býv.Kavárna) - </t>
    </r>
    <r>
      <rPr>
        <sz val="11"/>
        <rFont val="Calibri"/>
        <family val="2"/>
        <charset val="238"/>
      </rPr>
      <t>revitalizace veřejného prostranství</t>
    </r>
  </si>
  <si>
    <r>
      <t xml:space="preserve">Zimní stadion - </t>
    </r>
    <r>
      <rPr>
        <sz val="11"/>
        <rFont val="Calibri"/>
        <family val="2"/>
        <charset val="238"/>
      </rPr>
      <t xml:space="preserve">rekonstrukce </t>
    </r>
    <r>
      <rPr>
        <b/>
        <sz val="11"/>
        <rFont val="Calibri"/>
        <family val="2"/>
        <charset val="238"/>
      </rPr>
      <t>TZB vč. oprav vnitřních prostor</t>
    </r>
    <r>
      <rPr>
        <sz val="11"/>
        <rFont val="Calibri"/>
        <family val="2"/>
        <charset val="238"/>
      </rPr>
      <t xml:space="preserve"> (šatny, soc. zařízení)</t>
    </r>
  </si>
  <si>
    <r>
      <t xml:space="preserve">Fojtství - kuchyňka a soc. zařízení - </t>
    </r>
    <r>
      <rPr>
        <sz val="11"/>
        <rFont val="Calibri"/>
        <family val="2"/>
        <charset val="238"/>
      </rPr>
      <t>komplexní rekonstrukce</t>
    </r>
  </si>
  <si>
    <r>
      <t>Oprava a zprovoznění chaty Červeném kameni -</t>
    </r>
    <r>
      <rPr>
        <sz val="11"/>
        <rFont val="Calibri"/>
        <family val="2"/>
        <charset val="238"/>
      </rPr>
      <t xml:space="preserve"> oživení areálu</t>
    </r>
  </si>
  <si>
    <r>
      <t>LS Kopřivnice</t>
    </r>
    <r>
      <rPr>
        <sz val="11"/>
        <rFont val="Calibri"/>
        <family val="2"/>
        <charset val="238"/>
      </rPr>
      <t xml:space="preserve"> II. etapa - rekonstrukce 2.NP, zateplení objektu, výměna kotle</t>
    </r>
  </si>
  <si>
    <t>OSV / NNO</t>
  </si>
  <si>
    <t>zahájení provozu</t>
  </si>
  <si>
    <t>závěrečná zpráva</t>
  </si>
  <si>
    <t>OSV / MSK</t>
  </si>
  <si>
    <r>
      <t xml:space="preserve">Katalog </t>
    </r>
    <r>
      <rPr>
        <sz val="11"/>
        <rFont val="Calibri"/>
        <family val="2"/>
        <charset val="238"/>
      </rPr>
      <t>sociálních služeb</t>
    </r>
  </si>
  <si>
    <r>
      <t xml:space="preserve">Propagace </t>
    </r>
    <r>
      <rPr>
        <sz val="11"/>
        <rFont val="Calibri"/>
        <family val="2"/>
        <charset val="238"/>
      </rPr>
      <t>poskytovatelů sociálních služeb a jejich činnosti</t>
    </r>
  </si>
  <si>
    <r>
      <t xml:space="preserve">Zachování stávající sítě </t>
    </r>
    <r>
      <rPr>
        <sz val="11"/>
        <rFont val="Calibri"/>
        <family val="2"/>
        <charset val="238"/>
      </rPr>
      <t>soc. služeb a jejich podpora</t>
    </r>
  </si>
  <si>
    <r>
      <t>Provedení mapování</t>
    </r>
    <r>
      <rPr>
        <sz val="11"/>
        <rFont val="Calibri"/>
        <family val="2"/>
        <charset val="238"/>
      </rPr>
      <t xml:space="preserve"> potřeb a případné následné rozšíření kapacity osobní asistence</t>
    </r>
  </si>
  <si>
    <r>
      <t xml:space="preserve">Vznik pobytové odlehčovací služby </t>
    </r>
    <r>
      <rPr>
        <sz val="11"/>
        <rFont val="Calibri"/>
        <family val="2"/>
        <charset val="238"/>
      </rPr>
      <t>pro osoby mentálním a mentálním a kombinovaným postižením, poruchami autistického spektra</t>
    </r>
  </si>
  <si>
    <r>
      <t xml:space="preserve">Podpora pečujících osob </t>
    </r>
    <r>
      <rPr>
        <sz val="11"/>
        <rFont val="Calibri"/>
        <family val="2"/>
        <charset val="238"/>
      </rPr>
      <t>včetně dobrovolnictví</t>
    </r>
  </si>
  <si>
    <r>
      <t xml:space="preserve">Osvěta a informovanost </t>
    </r>
    <r>
      <rPr>
        <sz val="11"/>
        <rFont val="Calibri"/>
        <family val="2"/>
        <charset val="238"/>
      </rPr>
      <t xml:space="preserve">o možnostech trávení volného času osob se zdr. postižením, zejména mentálním </t>
    </r>
  </si>
  <si>
    <r>
      <t xml:space="preserve">Podpora realizace svépomocných skupin </t>
    </r>
    <r>
      <rPr>
        <sz val="11"/>
        <rFont val="Calibri"/>
        <family val="2"/>
        <charset val="238"/>
      </rPr>
      <t>a peer konzultantů pro osoby s duševním onemocněním</t>
    </r>
  </si>
  <si>
    <r>
      <t xml:space="preserve">Zajištění bydlení </t>
    </r>
    <r>
      <rPr>
        <sz val="11"/>
        <rFont val="Calibri"/>
        <family val="2"/>
        <charset val="238"/>
      </rPr>
      <t>s podporou pro osoby duševním onemocněním</t>
    </r>
  </si>
  <si>
    <t>B.4.1 Informační a marketingová podpora cestovního ruchu</t>
  </si>
  <si>
    <t>OPE</t>
  </si>
  <si>
    <t>tajemník</t>
  </si>
  <si>
    <t>KDK</t>
  </si>
  <si>
    <r>
      <t>Akademie III. věku</t>
    </r>
    <r>
      <rPr>
        <sz val="11"/>
        <rFont val="Calibri"/>
        <family val="2"/>
        <charset val="238"/>
      </rPr>
      <t xml:space="preserve"> - zachování případně rozvoj tradičního programu pro seniory</t>
    </r>
  </si>
  <si>
    <t>Opatření, bude naplňováno dílčími projekty/aktivitami střední školy.</t>
  </si>
  <si>
    <r>
      <t>Neformální setkání s podnikateli</t>
    </r>
    <r>
      <rPr>
        <sz val="11"/>
        <rFont val="Calibri"/>
        <family val="2"/>
        <charset val="238"/>
      </rPr>
      <t xml:space="preserve"> - zajištění vzájemné informovanosti, navázání spolupráce,….</t>
    </r>
  </si>
  <si>
    <r>
      <t>Podpora aktivit kariérového poradenstv</t>
    </r>
    <r>
      <rPr>
        <sz val="11"/>
        <rFont val="Calibri"/>
        <family val="2"/>
        <charset val="238"/>
      </rPr>
      <t xml:space="preserve">í - prezentace SŠ a zaměst. pro žáky 8. a 9. tříd a jejich rodiče </t>
    </r>
  </si>
  <si>
    <r>
      <t xml:space="preserve">Zvyšování kvality ve vzdělávání </t>
    </r>
    <r>
      <rPr>
        <sz val="11"/>
        <rFont val="Calibri"/>
        <family val="2"/>
        <charset val="238"/>
      </rPr>
      <t>(aktivity k rozvoji klíčových kompetencí)</t>
    </r>
  </si>
  <si>
    <t>OŠKS / KDK</t>
  </si>
  <si>
    <t>Opatření, bude naplňováno dílčími projekty/aktivitami informačního centra (KDK).</t>
  </si>
  <si>
    <t>C.3.2 Rozšíření nabídky bydlení v bytových domech</t>
  </si>
  <si>
    <t>V době zpracování AP není pro nadcházející dvouleté období pro toto opatření, s ohledem na personální a finanční kapacity, plánována žádná významná aktivita.</t>
  </si>
  <si>
    <r>
      <t xml:space="preserve">Odstavná plocha pro nákladní vozidla </t>
    </r>
    <r>
      <rPr>
        <sz val="11"/>
        <rFont val="Calibri"/>
        <family val="2"/>
        <charset val="238"/>
      </rPr>
      <t>- ul. Dělnická/Panská</t>
    </r>
  </si>
  <si>
    <r>
      <t>Obnova a doplnění vybavení jednotek SDH</t>
    </r>
    <r>
      <rPr>
        <sz val="11"/>
        <rFont val="Calibri"/>
        <family val="2"/>
        <charset val="238"/>
      </rPr>
      <t xml:space="preserve"> - pořízení cisterny (žádost o dotaci)</t>
    </r>
  </si>
  <si>
    <t>počet podpoř. služeb</t>
  </si>
  <si>
    <t>C.2.3 Alternativy k automobilové dopravě</t>
  </si>
  <si>
    <t>OŠKS / ZŠ</t>
  </si>
  <si>
    <t>OŠKS / MP</t>
  </si>
  <si>
    <t>B.2.3 Podpora a realizace kulturních, sportovních a společenských akcí v centru města</t>
  </si>
  <si>
    <t>B.4.6 Vybudování alternativního, jednoduchého ubytování v Kopřivnici</t>
  </si>
  <si>
    <r>
      <t>Systémová spolupráce se stavebníky a investory</t>
    </r>
    <r>
      <rPr>
        <sz val="11"/>
        <rFont val="Calibri"/>
        <family val="2"/>
        <charset val="238"/>
      </rPr>
      <t xml:space="preserve"> - uplatňování zájmů města z hlediska urbanismu a dopravní dostupnosti lokalit</t>
    </r>
  </si>
  <si>
    <t>C.4 Technická infrastruktura</t>
  </si>
  <si>
    <t>OMM / OSVZ</t>
  </si>
  <si>
    <t>usnesení</t>
  </si>
  <si>
    <t>OSVZ</t>
  </si>
  <si>
    <t>zpráva</t>
  </si>
  <si>
    <t>V rámci realizace aktivit MAP je vytvořena pracovní skupina pro rozvoj čtenářské a matematické gramotnosti, v rámci které jsou připravovány aktivity v této oblasti, probíhá diskuse zástupců zapojených škol a jsou přenášeny příklady dobré praxe.</t>
  </si>
  <si>
    <t>Opakující se akce. Aktivity realizovány v rámci činnosti příspěvkové organizace Kulturní dům Kopřivnice.</t>
  </si>
  <si>
    <t>Opakující se akce. Prázdninový program proběhl, do přípravy a realizace závěrečné prázdninové akce se zapojili i samotní účastníci.</t>
  </si>
  <si>
    <t>Opakující se akce. Byly realizovány všechny plánované kulturní, společenské a sportovní aktivity pro seniory, které byly doplněny o původně neplánované aktivity partnerů - např. Nemocnice AGEL.</t>
  </si>
  <si>
    <t xml:space="preserve">Vyhodnocení </t>
  </si>
  <si>
    <t>Pozastaveno z důvodu přerušení jednání s možným investorem v lokalitě Západ.</t>
  </si>
  <si>
    <t>2024-PD
2025-R</t>
  </si>
  <si>
    <t>realizace projektů</t>
  </si>
  <si>
    <r>
      <t xml:space="preserve">Modernizace vnitřní konektivity v ZŠ - Lubina, dr. Horákové - </t>
    </r>
    <r>
      <rPr>
        <sz val="11"/>
        <rFont val="Calibri"/>
        <family val="2"/>
        <charset val="238"/>
      </rPr>
      <t>předfinancování + spoluúčast</t>
    </r>
  </si>
  <si>
    <t>2024- PD</t>
  </si>
  <si>
    <r>
      <t xml:space="preserve">Revitalizace sídliště Sever - </t>
    </r>
    <r>
      <rPr>
        <sz val="11"/>
        <rFont val="Calibri"/>
        <family val="2"/>
        <charset val="238"/>
      </rPr>
      <t>prostranství u prodejny Hruška</t>
    </r>
  </si>
  <si>
    <r>
      <t>Skleněný pavilon</t>
    </r>
    <r>
      <rPr>
        <sz val="11"/>
        <rFont val="Calibri"/>
        <family val="2"/>
        <charset val="238"/>
      </rPr>
      <t xml:space="preserve"> - klimatizace, doplnění mobiliáře pro pořádání akcí</t>
    </r>
  </si>
  <si>
    <t>ORM / OŠKS</t>
  </si>
  <si>
    <r>
      <t xml:space="preserve">Úprava předprostoru muzea po Slovenské strele - </t>
    </r>
    <r>
      <rPr>
        <sz val="11"/>
        <rFont val="Calibri"/>
        <family val="2"/>
        <charset val="238"/>
      </rPr>
      <t>podání žádosti o dotaci, realizaci akce</t>
    </r>
  </si>
  <si>
    <t xml:space="preserve">Příprava a realizace každoročního programu akcí v centru města </t>
  </si>
  <si>
    <t>2024/5- PD</t>
  </si>
  <si>
    <r>
      <t>Někdo ven??? + Zapoj se!</t>
    </r>
    <r>
      <rPr>
        <sz val="11"/>
        <rFont val="Calibri"/>
        <family val="2"/>
        <charset val="238"/>
      </rPr>
      <t>- realizace prázdninového programu pro děti a mládež</t>
    </r>
  </si>
  <si>
    <t>2024/5 - R</t>
  </si>
  <si>
    <r>
      <t xml:space="preserve">Expozice kopřivnické majoliky, expozice Zd. Buriana </t>
    </r>
    <r>
      <rPr>
        <sz val="11"/>
        <rFont val="Calibri"/>
        <family val="2"/>
        <charset val="238"/>
      </rPr>
      <t>- příprava nové expozice</t>
    </r>
    <r>
      <rPr>
        <b/>
        <sz val="11"/>
        <rFont val="Calibri"/>
        <family val="2"/>
        <charset val="238"/>
      </rPr>
      <t xml:space="preserve"> v Lašském muzeu</t>
    </r>
  </si>
  <si>
    <t>2025 - R</t>
  </si>
  <si>
    <r>
      <rPr>
        <b/>
        <sz val="11"/>
        <rFont val="Calibri"/>
        <family val="2"/>
        <charset val="238"/>
      </rPr>
      <t xml:space="preserve">Chodník ul. Pod Zahradami </t>
    </r>
    <r>
      <rPr>
        <sz val="11"/>
        <rFont val="Calibri"/>
        <family val="2"/>
        <charset val="238"/>
      </rPr>
      <t>- oprava</t>
    </r>
  </si>
  <si>
    <t>realizace dílčích opatření</t>
  </si>
  <si>
    <t>2024-PD
2025+ - R</t>
  </si>
  <si>
    <r>
      <t xml:space="preserve">Instalace fotovoltaických panelů na objektech města - </t>
    </r>
    <r>
      <rPr>
        <sz val="11"/>
        <rFont val="Calibri"/>
        <family val="2"/>
        <charset val="238"/>
      </rPr>
      <t>realizace na budově radnice</t>
    </r>
  </si>
  <si>
    <r>
      <t xml:space="preserve">Doplnění vybavení JPO II - </t>
    </r>
    <r>
      <rPr>
        <sz val="11"/>
        <rFont val="Calibri"/>
        <family val="2"/>
        <charset val="238"/>
      </rPr>
      <t>zásahová čtyřkolka (žádost o dotaci, následná realizace)</t>
    </r>
  </si>
  <si>
    <r>
      <t>Rekonstrukce HZ Drnholec</t>
    </r>
    <r>
      <rPr>
        <sz val="11"/>
        <rFont val="Calibri"/>
        <family val="2"/>
        <charset val="238"/>
      </rPr>
      <t xml:space="preserve"> - žádost o dotaci, následná realizace</t>
    </r>
  </si>
  <si>
    <t>ORM / OPE</t>
  </si>
  <si>
    <t xml:space="preserve">ORM </t>
  </si>
  <si>
    <t>realizace dílčích aktivit</t>
  </si>
  <si>
    <r>
      <t>Terapeutická a smyslová zahrada za Effathou -</t>
    </r>
    <r>
      <rPr>
        <sz val="11"/>
        <rFont val="Calibri"/>
        <family val="2"/>
        <charset val="238"/>
      </rPr>
      <t xml:space="preserve"> vítězný projekt Koprojektů 2023</t>
    </r>
  </si>
  <si>
    <t>Průzkum spokojenosti obyvatel</t>
  </si>
  <si>
    <t>C1.1 Zvyšování bezpečnosti dopravy</t>
  </si>
  <si>
    <r>
      <t xml:space="preserve">Masarykovo náměstí - </t>
    </r>
    <r>
      <rPr>
        <sz val="11"/>
        <rFont val="Calibri"/>
        <family val="2"/>
        <charset val="238"/>
      </rPr>
      <t>revitalizace veřejného prostranství</t>
    </r>
  </si>
  <si>
    <t>2024 - studie</t>
  </si>
  <si>
    <r>
      <t>Regenerace sadu E. Beneše a prostranství před MÚ</t>
    </r>
    <r>
      <rPr>
        <sz val="11"/>
        <rFont val="Calibri"/>
        <family val="2"/>
        <charset val="238"/>
      </rPr>
      <t xml:space="preserve">  - definice zadání v rámci komise pro veř.prostranství</t>
    </r>
  </si>
  <si>
    <r>
      <t>Rekonstrukce centra města</t>
    </r>
    <r>
      <rPr>
        <sz val="11"/>
        <rFont val="Calibri"/>
        <family val="2"/>
        <charset val="238"/>
      </rPr>
      <t xml:space="preserve"> - odstranění závad, kolaudace</t>
    </r>
  </si>
  <si>
    <r>
      <t>Estetizace objektů v centru města</t>
    </r>
    <r>
      <rPr>
        <sz val="11"/>
        <rFont val="Calibri"/>
        <family val="2"/>
        <charset val="238"/>
      </rPr>
      <t xml:space="preserve"> - podpora vlastníků a provozovatelů (dotační program)</t>
    </r>
  </si>
  <si>
    <t>Odhad souhrnných nákladů r. 2025+</t>
  </si>
  <si>
    <r>
      <t xml:space="preserve">Program podpory MSP - </t>
    </r>
    <r>
      <rPr>
        <sz val="11"/>
        <rFont val="Calibri"/>
        <family val="2"/>
        <charset val="238"/>
      </rPr>
      <t>vzdělávání, síťování, spolupráce</t>
    </r>
  </si>
  <si>
    <t>Vazba na dílčí koncepci</t>
  </si>
  <si>
    <t>CG = Generel cyklistické dopravy</t>
  </si>
  <si>
    <t>PUMM - Plán udržitelné městské mobility</t>
  </si>
  <si>
    <r>
      <t>BD Alšova 1143-1144</t>
    </r>
    <r>
      <rPr>
        <sz val="11"/>
        <rFont val="Calibri"/>
        <family val="2"/>
        <charset val="238"/>
      </rPr>
      <t xml:space="preserve"> - sanace suterénu</t>
    </r>
  </si>
  <si>
    <t>C.3.1 Investice do bytového fondu v majetku města</t>
  </si>
  <si>
    <t>RO</t>
  </si>
  <si>
    <t>Zefektivnění sběru tříděných složek odpadu v nedostupných lokalitách</t>
  </si>
  <si>
    <r>
      <t xml:space="preserve">Přednášky a besedy preventivního charakteru </t>
    </r>
    <r>
      <rPr>
        <sz val="11"/>
        <rFont val="Calibri"/>
        <family val="2"/>
        <charset val="238"/>
      </rPr>
      <t>(např. na témata závislost, bezpečnost v dopravě, 1. pomoc, zdraví ….)</t>
    </r>
  </si>
  <si>
    <t>KPSS</t>
  </si>
  <si>
    <t>KPSS
ZP</t>
  </si>
  <si>
    <t>ZP</t>
  </si>
  <si>
    <t>KPSS = Komunitní plán sociálních služeb</t>
  </si>
  <si>
    <t>ZP = Zdravotní plán</t>
  </si>
  <si>
    <t>CG
 PUMM</t>
  </si>
  <si>
    <r>
      <t>Vybudování zázemí pro řidiče v rámci odstavného parkování na ul. Dělnická</t>
    </r>
    <r>
      <rPr>
        <sz val="11"/>
        <rFont val="Calibri"/>
        <family val="2"/>
        <charset val="238"/>
      </rPr>
      <t xml:space="preserve"> (opatření C.2.4)</t>
    </r>
  </si>
  <si>
    <t>MAP</t>
  </si>
  <si>
    <t>AS</t>
  </si>
  <si>
    <r>
      <t xml:space="preserve">Šustalova hrobka - </t>
    </r>
    <r>
      <rPr>
        <sz val="11"/>
        <rFont val="Calibri"/>
        <family val="2"/>
        <charset val="238"/>
      </rPr>
      <t xml:space="preserve">jednání </t>
    </r>
    <r>
      <rPr>
        <b/>
        <sz val="11"/>
        <rFont val="Calibri"/>
        <family val="2"/>
        <charset val="238"/>
      </rPr>
      <t xml:space="preserve"> o majetkoprávních vztazích</t>
    </r>
  </si>
  <si>
    <t>2025 - PD</t>
  </si>
  <si>
    <r>
      <t>Úprava prostor ve vestibulu MÚ</t>
    </r>
    <r>
      <rPr>
        <sz val="11"/>
        <rFont val="Calibri"/>
        <family val="2"/>
        <charset val="238"/>
      </rPr>
      <t xml:space="preserve"> - pracoviště informací, bufet, hlavní schodiště do budovy</t>
    </r>
  </si>
  <si>
    <r>
      <t xml:space="preserve">ZŠ dr. Horákové - </t>
    </r>
    <r>
      <rPr>
        <sz val="11"/>
        <rFont val="Calibri"/>
        <family val="2"/>
        <charset val="238"/>
      </rPr>
      <t xml:space="preserve">rek. </t>
    </r>
    <r>
      <rPr>
        <b/>
        <sz val="11"/>
        <rFont val="Calibri"/>
        <family val="2"/>
        <charset val="238"/>
      </rPr>
      <t>vstupní prostor a navazujících chodeb</t>
    </r>
  </si>
  <si>
    <r>
      <t xml:space="preserve">ZŠ a MŠ 17. listopadu - </t>
    </r>
    <r>
      <rPr>
        <sz val="11"/>
        <rFont val="Calibri"/>
        <family val="2"/>
        <charset val="238"/>
      </rPr>
      <t>oprava jídelny - PD+R</t>
    </r>
  </si>
  <si>
    <r>
      <t xml:space="preserve">MŠ Pionýrská - </t>
    </r>
    <r>
      <rPr>
        <sz val="11"/>
        <rFont val="Calibri"/>
        <family val="2"/>
        <charset val="238"/>
      </rPr>
      <t xml:space="preserve">rekonstrukce </t>
    </r>
    <r>
      <rPr>
        <b/>
        <sz val="11"/>
        <rFont val="Calibri"/>
        <family val="2"/>
        <charset val="238"/>
      </rPr>
      <t>rozvodů vody, kanalizace</t>
    </r>
  </si>
  <si>
    <t>R+RO</t>
  </si>
  <si>
    <t>2025-PD</t>
  </si>
  <si>
    <r>
      <t>KDK - nákladový výtah</t>
    </r>
    <r>
      <rPr>
        <sz val="11"/>
        <rFont val="Calibri"/>
        <family val="2"/>
        <charset val="238"/>
      </rPr>
      <t xml:space="preserve"> - příprava technického řešení</t>
    </r>
  </si>
  <si>
    <r>
      <t xml:space="preserve">Areál bývalého házenkářského hřiště - </t>
    </r>
    <r>
      <rPr>
        <sz val="11"/>
        <rFont val="Calibri"/>
        <family val="2"/>
        <charset val="238"/>
      </rPr>
      <t>pumptrack</t>
    </r>
    <r>
      <rPr>
        <b/>
        <sz val="11"/>
        <rFont val="Calibri"/>
        <family val="2"/>
        <charset val="238"/>
      </rPr>
      <t xml:space="preserve"> +</t>
    </r>
    <r>
      <rPr>
        <sz val="11"/>
        <rFont val="Calibri"/>
        <family val="2"/>
        <charset val="238"/>
      </rPr>
      <t xml:space="preserve"> chodník</t>
    </r>
  </si>
  <si>
    <t>2024 - PD
2025 - R</t>
  </si>
  <si>
    <t>2024-zpráva
2025 - PD</t>
  </si>
  <si>
    <r>
      <rPr>
        <b/>
        <sz val="11"/>
        <rFont val="Calibri"/>
        <family val="2"/>
        <charset val="238"/>
      </rPr>
      <t xml:space="preserve">Ringhofferova vila </t>
    </r>
    <r>
      <rPr>
        <sz val="11"/>
        <rFont val="Calibri"/>
        <family val="2"/>
        <charset val="238"/>
      </rPr>
      <t>- příprava využití suterénu dle schváleného zadání</t>
    </r>
  </si>
  <si>
    <t>organizace akcí</t>
  </si>
  <si>
    <t>ORM / OMM / OŠKS</t>
  </si>
  <si>
    <r>
      <t xml:space="preserve">ZŠ dr. Horákové - </t>
    </r>
    <r>
      <rPr>
        <sz val="11"/>
        <rFont val="Calibri"/>
        <family val="2"/>
        <charset val="238"/>
      </rPr>
      <t>rekonstrukce</t>
    </r>
    <r>
      <rPr>
        <b/>
        <sz val="11"/>
        <rFont val="Calibri"/>
        <family val="2"/>
        <charset val="238"/>
      </rPr>
      <t xml:space="preserve"> kuchyně</t>
    </r>
  </si>
  <si>
    <t>KSD = Koncepce statické dopravy</t>
  </si>
  <si>
    <t>MAP = Místní akční plán rozvoje vzdělávání</t>
  </si>
  <si>
    <t>KSD</t>
  </si>
  <si>
    <r>
      <t>KDK</t>
    </r>
    <r>
      <rPr>
        <sz val="11"/>
        <color theme="1"/>
        <rFont val="Calibri"/>
        <family val="2"/>
        <charset val="238"/>
      </rPr>
      <t xml:space="preserve"> - </t>
    </r>
    <r>
      <rPr>
        <b/>
        <sz val="11"/>
        <color theme="1"/>
        <rFont val="Calibri"/>
        <family val="2"/>
        <charset val="238"/>
      </rPr>
      <t>řešení požární bezpečnosti</t>
    </r>
  </si>
  <si>
    <t>schválená studie</t>
  </si>
  <si>
    <t>studie</t>
  </si>
  <si>
    <r>
      <rPr>
        <b/>
        <sz val="11"/>
        <rFont val="Calibri"/>
        <family val="2"/>
        <charset val="238"/>
      </rPr>
      <t>Posílení linek VHD</t>
    </r>
    <r>
      <rPr>
        <sz val="11"/>
        <rFont val="Calibri"/>
        <family val="2"/>
        <charset val="238"/>
      </rPr>
      <t xml:space="preserve"> - zlepšení dostupnosti místních částí a sídlišť autobusovou dopravou</t>
    </r>
  </si>
  <si>
    <t>R+???</t>
  </si>
  <si>
    <r>
      <t xml:space="preserve">Soubor aktivit k zajištění atraktivity centra </t>
    </r>
    <r>
      <rPr>
        <sz val="11"/>
        <rFont val="Calibri"/>
        <family val="2"/>
        <charset val="238"/>
      </rPr>
      <t>- program pro estetizaci objektů (opatření B.2.2), úlevy od poplatků, akce pro veřejnost</t>
    </r>
  </si>
  <si>
    <r>
      <t>Rekonstrukce hřiště Pod Zahradami -</t>
    </r>
    <r>
      <rPr>
        <sz val="11"/>
        <rFont val="Calibri"/>
        <family val="2"/>
        <charset val="238"/>
      </rPr>
      <t xml:space="preserve"> realizace</t>
    </r>
  </si>
  <si>
    <t>AS = Adaptační strategie</t>
  </si>
  <si>
    <t>MEK</t>
  </si>
  <si>
    <t>MEK = Místní energetická koncepce</t>
  </si>
  <si>
    <r>
      <t>KDK -</t>
    </r>
    <r>
      <rPr>
        <sz val="11"/>
        <rFont val="Calibri"/>
        <family val="2"/>
        <charset val="238"/>
      </rPr>
      <t xml:space="preserve"> rekonstrukce </t>
    </r>
    <r>
      <rPr>
        <b/>
        <sz val="11"/>
        <rFont val="Calibri"/>
        <family val="2"/>
        <charset val="238"/>
      </rPr>
      <t xml:space="preserve">vzduchotechniky (kino) </t>
    </r>
    <r>
      <rPr>
        <sz val="11"/>
        <rFont val="Calibri"/>
        <family val="2"/>
        <charset val="238"/>
      </rPr>
      <t>- PD+R</t>
    </r>
  </si>
  <si>
    <r>
      <t>KDK -</t>
    </r>
    <r>
      <rPr>
        <sz val="11"/>
        <rFont val="Calibri"/>
        <family val="2"/>
        <charset val="238"/>
      </rPr>
      <t xml:space="preserve"> zpracování </t>
    </r>
    <r>
      <rPr>
        <b/>
        <sz val="11"/>
        <rFont val="Calibri"/>
        <family val="2"/>
        <charset val="238"/>
      </rPr>
      <t>studie budoucího využit</t>
    </r>
    <r>
      <rPr>
        <sz val="11"/>
        <rFont val="Calibri"/>
        <family val="2"/>
        <charset val="238"/>
      </rPr>
      <t>í jako podklad pro další projektovou přípravu rekonstrukce</t>
    </r>
  </si>
  <si>
    <r>
      <t>ZŠ Náměstí</t>
    </r>
    <r>
      <rPr>
        <sz val="11"/>
        <rFont val="Calibri"/>
        <family val="2"/>
        <charset val="238"/>
      </rPr>
      <t xml:space="preserve"> - zpracování PD pro rekonstrukci historického objektu na </t>
    </r>
    <r>
      <rPr>
        <b/>
        <sz val="11"/>
        <rFont val="Calibri"/>
        <family val="2"/>
        <charset val="238"/>
      </rPr>
      <t>knihovnu/komunitní centrum</t>
    </r>
  </si>
  <si>
    <t>R+k diskusi</t>
  </si>
  <si>
    <t>PUMM</t>
  </si>
  <si>
    <t>PUMM = Plán udržitelné městské mobility</t>
  </si>
  <si>
    <t>2025-PD
2026-R</t>
  </si>
  <si>
    <r>
      <t>Ul. Západní</t>
    </r>
    <r>
      <rPr>
        <sz val="11"/>
        <rFont val="Calibri"/>
        <family val="2"/>
        <charset val="238"/>
      </rPr>
      <t xml:space="preserve"> - vybudování technické infrastruktury v návaznosti na rozvojovou lokalitu - PD + realizace</t>
    </r>
  </si>
  <si>
    <t>realizace 2025</t>
  </si>
  <si>
    <t>2024-PD+R</t>
  </si>
  <si>
    <t>Studie na realizaci komunální energetiky</t>
  </si>
  <si>
    <t>RO+k diskusi</t>
  </si>
  <si>
    <t>bude upřesněno na základě PD</t>
  </si>
  <si>
    <t>Dílčí aktivity jsou plánovány v rámci jiných opatření, např. Program podpory MSP, Estetizace provozoven/objektů v centru, …</t>
  </si>
  <si>
    <t xml:space="preserve">Dílčí aktivity jsou plánovány v rámci strategického cíle C.3 Příležitosti pro bydlení </t>
  </si>
  <si>
    <r>
      <t>Místní akční plán rozvoje vzdělávání</t>
    </r>
    <r>
      <rPr>
        <sz val="11"/>
        <rFont val="Calibri"/>
        <family val="2"/>
        <charset val="238"/>
      </rPr>
      <t xml:space="preserve"> v ORP Kopřivnice IV - realizace projektu 2024 - 2026</t>
    </r>
    <r>
      <rPr>
        <b/>
        <sz val="11"/>
        <rFont val="Calibri"/>
        <family val="2"/>
        <charset val="238"/>
      </rPr>
      <t xml:space="preserve"> </t>
    </r>
    <r>
      <rPr>
        <sz val="11"/>
        <rFont val="Calibri"/>
        <family val="2"/>
        <charset val="238"/>
      </rPr>
      <t>(dotace OP JAK)</t>
    </r>
  </si>
  <si>
    <t>zlepšení vzhledu objektů</t>
  </si>
  <si>
    <r>
      <t>Depozitář v sadu E. Beneše</t>
    </r>
    <r>
      <rPr>
        <sz val="11"/>
        <rFont val="Calibri"/>
        <family val="2"/>
        <charset val="238"/>
      </rPr>
      <t xml:space="preserve"> - statické posouzení objektu pro stanovení dalšího postupu jeho úprav</t>
    </r>
  </si>
  <si>
    <t>statický posudek</t>
  </si>
  <si>
    <r>
      <t>Větřkovická přehrada -</t>
    </r>
    <r>
      <rPr>
        <sz val="11"/>
        <rFont val="Calibri"/>
        <family val="2"/>
        <charset val="238"/>
      </rPr>
      <t xml:space="preserve"> doplnění mobililáře (dotace MSK)</t>
    </r>
  </si>
  <si>
    <t>2024-PD, VZ
 2025-R</t>
  </si>
  <si>
    <r>
      <t xml:space="preserve">Rekonstrukce mostu ul. Kpt. Jaroše </t>
    </r>
    <r>
      <rPr>
        <sz val="11"/>
        <color theme="1"/>
        <rFont val="Calibri"/>
        <family val="2"/>
        <charset val="238"/>
      </rPr>
      <t>- realizace</t>
    </r>
  </si>
  <si>
    <r>
      <t xml:space="preserve">Rekonstrukce mostu ul. Dukelská </t>
    </r>
    <r>
      <rPr>
        <sz val="11"/>
        <color theme="1"/>
        <rFont val="Calibri"/>
        <family val="2"/>
        <charset val="238"/>
      </rPr>
      <t>- realizace</t>
    </r>
  </si>
  <si>
    <r>
      <t xml:space="preserve">Rekonstrukce mostu ul. Erbenova - </t>
    </r>
    <r>
      <rPr>
        <sz val="11"/>
        <color theme="1"/>
        <rFont val="Calibri"/>
        <family val="2"/>
        <charset val="238"/>
      </rPr>
      <t>realizace</t>
    </r>
  </si>
  <si>
    <r>
      <t>Rekonstrukce mostu Vlčovice - M02</t>
    </r>
    <r>
      <rPr>
        <sz val="11"/>
        <color theme="1"/>
        <rFont val="Calibri"/>
        <family val="2"/>
        <charset val="238"/>
      </rPr>
      <t xml:space="preserve"> - realizace</t>
    </r>
  </si>
  <si>
    <r>
      <t xml:space="preserve">Rekonstrukce mostu ul. Husova </t>
    </r>
    <r>
      <rPr>
        <sz val="11"/>
        <color theme="1"/>
        <rFont val="Calibri"/>
        <family val="2"/>
        <charset val="238"/>
      </rPr>
      <t>- příprava a realizace akce</t>
    </r>
  </si>
  <si>
    <r>
      <t xml:space="preserve">Most Lubina u KD - </t>
    </r>
    <r>
      <rPr>
        <sz val="11"/>
        <color theme="1"/>
        <rFont val="Calibri"/>
        <family val="2"/>
        <charset val="238"/>
      </rPr>
      <t>statické posouzení možnosti zavěšené lávky</t>
    </r>
    <r>
      <rPr>
        <b/>
        <sz val="11"/>
        <color theme="1"/>
        <rFont val="Calibri"/>
        <family val="2"/>
        <charset val="238"/>
      </rPr>
      <t>, příp. následná projektová příprava</t>
    </r>
  </si>
  <si>
    <r>
      <t>ul. Na Vápenkách -</t>
    </r>
    <r>
      <rPr>
        <sz val="11"/>
        <color theme="1"/>
        <rFont val="Calibri"/>
        <family val="2"/>
        <charset val="238"/>
      </rPr>
      <t xml:space="preserve"> realizace opravy</t>
    </r>
  </si>
  <si>
    <r>
      <t xml:space="preserve">ul. Severní </t>
    </r>
    <r>
      <rPr>
        <sz val="11"/>
        <color theme="1"/>
        <rFont val="Calibri"/>
        <family val="2"/>
        <charset val="238"/>
      </rPr>
      <t>- realizace opravy</t>
    </r>
  </si>
  <si>
    <r>
      <t xml:space="preserve">ul. Janáčkova </t>
    </r>
    <r>
      <rPr>
        <sz val="11"/>
        <color theme="1"/>
        <rFont val="Calibri"/>
        <family val="2"/>
        <charset val="238"/>
      </rPr>
      <t>- realizace opravy</t>
    </r>
  </si>
  <si>
    <r>
      <t>Výstavba okružní křižovatky Záhumenní - kpt. Jaroše</t>
    </r>
    <r>
      <rPr>
        <sz val="11"/>
        <color theme="1"/>
        <rFont val="Calibri"/>
        <family val="2"/>
        <charset val="238"/>
      </rPr>
      <t xml:space="preserve"> - realizace ve spolupráci se SSMSK</t>
    </r>
  </si>
  <si>
    <r>
      <t>Pasport komunikací -</t>
    </r>
    <r>
      <rPr>
        <sz val="11"/>
        <color theme="1"/>
        <rFont val="Calibri"/>
        <family val="2"/>
        <charset val="238"/>
      </rPr>
      <t xml:space="preserve"> aktualizace a digitalizace </t>
    </r>
  </si>
  <si>
    <r>
      <t xml:space="preserve">Propojení ulic Severní a Moravská (vč. parkoviště) </t>
    </r>
    <r>
      <rPr>
        <sz val="11"/>
        <color theme="1"/>
        <rFont val="Calibri"/>
        <family val="2"/>
        <charset val="238"/>
      </rPr>
      <t>- příprava projektu</t>
    </r>
  </si>
  <si>
    <r>
      <t>Křižovatka Palárna</t>
    </r>
    <r>
      <rPr>
        <sz val="11"/>
        <color theme="1"/>
        <rFont val="Calibri"/>
        <family val="2"/>
        <charset val="238"/>
      </rPr>
      <t xml:space="preserve"> - zvýšení bezpečnosti (chodník a přechod), společná akce se Štramberkem</t>
    </r>
  </si>
  <si>
    <r>
      <t xml:space="preserve">Cyklobus/Skibus Beskydy (na Bílou) - </t>
    </r>
    <r>
      <rPr>
        <sz val="11"/>
        <color theme="1"/>
        <rFont val="Calibri"/>
        <family val="2"/>
        <charset val="238"/>
      </rPr>
      <t>spoluúčast na provozních nákladech</t>
    </r>
  </si>
  <si>
    <r>
      <t xml:space="preserve">Podpora sdílení dopravních prostředků (kola) na území města </t>
    </r>
    <r>
      <rPr>
        <sz val="11"/>
        <color theme="1"/>
        <rFont val="Calibri"/>
        <family val="2"/>
        <charset val="238"/>
      </rPr>
      <t>- spolupráce s Novým Jičínem</t>
    </r>
  </si>
  <si>
    <r>
      <rPr>
        <b/>
        <sz val="11"/>
        <rFont val="Calibri"/>
        <family val="2"/>
        <charset val="238"/>
      </rPr>
      <t xml:space="preserve">Silniční propojení PPK </t>
    </r>
    <r>
      <rPr>
        <sz val="11"/>
        <rFont val="Calibri"/>
        <family val="2"/>
        <charset val="238"/>
      </rPr>
      <t>na plánovanou okružní křižovatku - projektová příprava - spolupráce s ŘSD</t>
    </r>
  </si>
  <si>
    <r>
      <t xml:space="preserve">Cyklistické napojení PPK </t>
    </r>
    <r>
      <rPr>
        <sz val="11"/>
        <rFont val="Calibri"/>
        <family val="2"/>
        <charset val="238"/>
      </rPr>
      <t>- zapracování studie řešení do PD obchvatu</t>
    </r>
    <r>
      <rPr>
        <b/>
        <sz val="11"/>
        <rFont val="Calibri"/>
        <family val="2"/>
        <charset val="238"/>
      </rPr>
      <t xml:space="preserve"> - </t>
    </r>
    <r>
      <rPr>
        <sz val="11"/>
        <rFont val="Calibri"/>
        <family val="2"/>
        <charset val="238"/>
      </rPr>
      <t>spolupráce s ŘSD</t>
    </r>
  </si>
  <si>
    <t>zvýšení počtu spojů</t>
  </si>
  <si>
    <t>návrh řešení</t>
  </si>
  <si>
    <r>
      <t>Příprava návrhu parkování</t>
    </r>
    <r>
      <rPr>
        <sz val="11"/>
        <color theme="1"/>
        <rFont val="Calibri"/>
        <family val="2"/>
        <charset val="238"/>
      </rPr>
      <t xml:space="preserve"> po případném zavedení parkovacích systémů u OC</t>
    </r>
  </si>
  <si>
    <r>
      <rPr>
        <b/>
        <sz val="11"/>
        <rFont val="Calibri"/>
        <family val="2"/>
        <charset val="238"/>
      </rPr>
      <t>Chodník ul. Štramberská</t>
    </r>
    <r>
      <rPr>
        <sz val="11"/>
        <rFont val="Calibri"/>
        <family val="2"/>
        <charset val="238"/>
      </rPr>
      <t xml:space="preserve"> - přístup k vlakové zastávce Štramberk </t>
    </r>
  </si>
  <si>
    <r>
      <t>Příprava rezidenčních projektů ve městě</t>
    </r>
    <r>
      <rPr>
        <sz val="11"/>
        <rFont val="Calibri"/>
        <family val="2"/>
        <charset val="238"/>
      </rPr>
      <t xml:space="preserve"> - spolupráce MSID</t>
    </r>
  </si>
  <si>
    <r>
      <t xml:space="preserve">Rozvojová lokalita Dolní Roličky - </t>
    </r>
    <r>
      <rPr>
        <sz val="11"/>
        <rFont val="Calibri"/>
        <family val="2"/>
        <charset val="238"/>
      </rPr>
      <t>příprava podmínek pro jednání s investorem</t>
    </r>
  </si>
  <si>
    <r>
      <t xml:space="preserve">Územní plán Kopřivnice - </t>
    </r>
    <r>
      <rPr>
        <sz val="11"/>
        <rFont val="Calibri"/>
        <family val="2"/>
        <charset val="238"/>
      </rPr>
      <t>digitalizace, příprava změny</t>
    </r>
  </si>
  <si>
    <r>
      <t>ZŠ Náměstí</t>
    </r>
    <r>
      <rPr>
        <sz val="11"/>
        <rFont val="Calibri"/>
        <family val="2"/>
        <charset val="238"/>
      </rPr>
      <t xml:space="preserve"> - příprava projektu rekonstrukce přístavby školy na byty </t>
    </r>
  </si>
  <si>
    <r>
      <t xml:space="preserve">Ubytovna pod ČK - </t>
    </r>
    <r>
      <rPr>
        <sz val="11"/>
        <color theme="1"/>
        <rFont val="Calibri"/>
        <family val="2"/>
        <charset val="238"/>
      </rPr>
      <t>rekonstrukce sociálních zařízení</t>
    </r>
  </si>
  <si>
    <r>
      <t>Zajištění bydlení osob bez přístřeší v návaznosti na provedené mapování jejich potřeb</t>
    </r>
    <r>
      <rPr>
        <sz val="11"/>
        <color theme="1"/>
        <rFont val="Calibri"/>
        <family val="2"/>
        <charset val="238"/>
      </rPr>
      <t xml:space="preserve"> - návrh řešení</t>
    </r>
  </si>
  <si>
    <r>
      <rPr>
        <b/>
        <sz val="11"/>
        <color theme="1"/>
        <rFont val="Calibri"/>
        <family val="2"/>
        <charset val="238"/>
      </rPr>
      <t>Dostavba splaškové kanalizace</t>
    </r>
    <r>
      <rPr>
        <sz val="11"/>
        <color theme="1"/>
        <rFont val="Calibri"/>
        <family val="2"/>
        <charset val="238"/>
      </rPr>
      <t xml:space="preserve"> - příprava projektu Lubina/Mniší</t>
    </r>
  </si>
  <si>
    <r>
      <t xml:space="preserve">Revize Pravidel hospodaření s byty ve vlastnictví města - </t>
    </r>
    <r>
      <rPr>
        <sz val="11"/>
        <color theme="1"/>
        <rFont val="Calibri"/>
        <family val="2"/>
        <charset val="238"/>
      </rPr>
      <t xml:space="preserve">promítnutí Zákona o dostupném bydlení </t>
    </r>
  </si>
  <si>
    <r>
      <t>Rozšíření systému sběru tříděného odpadu</t>
    </r>
    <r>
      <rPr>
        <sz val="11"/>
        <rFont val="Calibri"/>
        <family val="2"/>
        <charset val="238"/>
      </rPr>
      <t xml:space="preserve"> DOOR to DOOR - nádoby na papír</t>
    </r>
  </si>
  <si>
    <r>
      <t xml:space="preserve">Knihobudky </t>
    </r>
    <r>
      <rPr>
        <sz val="11"/>
        <color theme="1"/>
        <rFont val="Calibri"/>
        <family val="2"/>
        <charset val="238"/>
      </rPr>
      <t>(prevence vzniku odpadu, zlepšování služeb re-use centra)</t>
    </r>
  </si>
  <si>
    <r>
      <t>Podzemní kontejnery</t>
    </r>
    <r>
      <rPr>
        <sz val="11"/>
        <color theme="1"/>
        <rFont val="Calibri"/>
        <family val="2"/>
        <charset val="238"/>
      </rPr>
      <t xml:space="preserve"> - posouzení realizovatelnosti</t>
    </r>
  </si>
  <si>
    <r>
      <t xml:space="preserve">Osvěta v oblasti odpadů </t>
    </r>
    <r>
      <rPr>
        <sz val="11"/>
        <color theme="1"/>
        <rFont val="Calibri"/>
        <family val="2"/>
        <charset val="238"/>
      </rPr>
      <t>(biokyblíčky, fyzická analýza odpadů v r. 2025, ….)</t>
    </r>
  </si>
  <si>
    <r>
      <t>Zadržení a využití srážkových vod v areálu letního stadionu</t>
    </r>
    <r>
      <rPr>
        <sz val="11"/>
        <color theme="1"/>
        <rFont val="Calibri"/>
        <family val="2"/>
        <charset val="238"/>
      </rPr>
      <t xml:space="preserve"> (střecha + zpevněné plochy)</t>
    </r>
  </si>
  <si>
    <r>
      <t>Využití srážkových vod od Husovy lípy</t>
    </r>
    <r>
      <rPr>
        <sz val="11"/>
        <color theme="1"/>
        <rFont val="Calibri"/>
        <family val="2"/>
        <charset val="238"/>
      </rPr>
      <t xml:space="preserve"> pro letní stadion - realizace dílčí etapy</t>
    </r>
  </si>
  <si>
    <r>
      <t xml:space="preserve">Zeleň místo nevyužívaných zpevněných ploch - </t>
    </r>
    <r>
      <rPr>
        <sz val="11"/>
        <color theme="1"/>
        <rFont val="Calibri"/>
        <family val="2"/>
        <charset val="238"/>
      </rPr>
      <t>projekt na vybrané lokality</t>
    </r>
  </si>
  <si>
    <r>
      <t>Pořízení moderních mobilních nádob na zeleň</t>
    </r>
    <r>
      <rPr>
        <sz val="11"/>
        <color theme="1"/>
        <rFont val="Calibri"/>
        <family val="2"/>
        <charset val="238"/>
      </rPr>
      <t xml:space="preserve"> (před MÚ, u parku, na ul. Štefánikova)</t>
    </r>
  </si>
  <si>
    <r>
      <t xml:space="preserve">Kopřivnička - zelená páteř města </t>
    </r>
    <r>
      <rPr>
        <sz val="11"/>
        <color theme="1"/>
        <rFont val="Calibri"/>
        <family val="2"/>
        <charset val="238"/>
      </rPr>
      <t>(studie)</t>
    </r>
  </si>
  <si>
    <r>
      <t xml:space="preserve">Aktualizace pasportu a inventarizace zeleně </t>
    </r>
    <r>
      <rPr>
        <sz val="11"/>
        <color theme="1"/>
        <rFont val="Calibri"/>
        <family val="2"/>
        <charset val="238"/>
      </rPr>
      <t>- mapování zeleně v Kopřivnici a MČ - ošetření a ořez, popř. kácení</t>
    </r>
  </si>
  <si>
    <r>
      <t>Zastínění parkovacích míst za MÚ</t>
    </r>
    <r>
      <rPr>
        <sz val="11"/>
        <color theme="1"/>
        <rFont val="Calibri"/>
        <family val="2"/>
        <charset val="238"/>
      </rPr>
      <t xml:space="preserve"> - pilotní projekt, výsadba popínavých rostlin</t>
    </r>
  </si>
  <si>
    <r>
      <t>Řešení bývalé skládky KBV za ČOV s cílem ukončení dočasného vynětí území ze ZPF -</t>
    </r>
    <r>
      <rPr>
        <sz val="11"/>
        <rFont val="Calibri"/>
        <family val="2"/>
        <charset val="238"/>
      </rPr>
      <t xml:space="preserve"> jednání s vlastníky pozemků, zajištění trvalého vynětí ze ZPF za účelem zachování stávajícího stavu</t>
    </r>
  </si>
  <si>
    <r>
      <t xml:space="preserve">Energetická koncepce města - </t>
    </r>
    <r>
      <rPr>
        <sz val="11"/>
        <color theme="1"/>
        <rFont val="Calibri"/>
        <family val="2"/>
        <charset val="238"/>
      </rPr>
      <t>vyhodnocení en. plánu, tvorba nové koncepce</t>
    </r>
    <r>
      <rPr>
        <b/>
        <sz val="11"/>
        <color theme="1"/>
        <rFont val="Calibri"/>
        <family val="2"/>
        <charset val="238"/>
      </rPr>
      <t>, realizace AP</t>
    </r>
  </si>
  <si>
    <r>
      <t>Podpora vzniku čerpací stanice/dobíjecí stanice na alternativní PHM</t>
    </r>
    <r>
      <rPr>
        <sz val="11"/>
        <color theme="1"/>
        <rFont val="Calibri"/>
        <family val="2"/>
        <charset val="238"/>
      </rPr>
      <t xml:space="preserve"> / dobíjecí stanice pro elektromobily </t>
    </r>
  </si>
  <si>
    <r>
      <t xml:space="preserve">Zorganizování </t>
    </r>
    <r>
      <rPr>
        <b/>
        <sz val="11"/>
        <color theme="1"/>
        <rFont val="Calibri"/>
        <family val="2"/>
        <charset val="238"/>
      </rPr>
      <t xml:space="preserve">společného nákupu energií </t>
    </r>
    <r>
      <rPr>
        <sz val="11"/>
        <color theme="1"/>
        <rFont val="Calibri"/>
        <family val="2"/>
        <charset val="238"/>
      </rPr>
      <t xml:space="preserve">pro veřejnost </t>
    </r>
  </si>
  <si>
    <r>
      <t xml:space="preserve">Realizace dílčích en. úsporných opatření </t>
    </r>
    <r>
      <rPr>
        <sz val="11"/>
        <rFont val="Calibri"/>
        <family val="2"/>
        <charset val="238"/>
      </rPr>
      <t xml:space="preserve">v městských objektech </t>
    </r>
  </si>
  <si>
    <r>
      <t>Radnice</t>
    </r>
    <r>
      <rPr>
        <sz val="11"/>
        <rFont val="Calibri"/>
        <family val="2"/>
        <charset val="238"/>
      </rPr>
      <t xml:space="preserve"> - vzduchotechnika s rekuperací a chlazením na chodbách, výměna stávajících jednotek</t>
    </r>
  </si>
  <si>
    <r>
      <t xml:space="preserve">Realizace prvků </t>
    </r>
    <r>
      <rPr>
        <sz val="11"/>
        <color theme="1"/>
        <rFont val="Calibri"/>
        <family val="2"/>
        <charset val="238"/>
      </rPr>
      <t>e-governmentu, zvyšování kyberbezpečnosti a uplatňování moderní veřejné správy</t>
    </r>
  </si>
  <si>
    <r>
      <rPr>
        <b/>
        <sz val="11"/>
        <color theme="1"/>
        <rFont val="Calibri"/>
        <family val="2"/>
        <charset val="238"/>
      </rPr>
      <t xml:space="preserve">Pořízení IT pro stavební úřad </t>
    </r>
    <r>
      <rPr>
        <sz val="11"/>
        <color theme="1"/>
        <rFont val="Calibri"/>
        <family val="2"/>
        <charset val="238"/>
      </rPr>
      <t>- zapojení se do dotační výzvy</t>
    </r>
  </si>
  <si>
    <r>
      <t>Vznik pobytové sociální služby</t>
    </r>
    <r>
      <rPr>
        <sz val="11"/>
        <rFont val="Calibri"/>
        <family val="2"/>
        <charset val="238"/>
      </rPr>
      <t xml:space="preserve"> domov pro seniory a domov se zvláštním režimem</t>
    </r>
    <r>
      <rPr>
        <b/>
        <sz val="11"/>
        <rFont val="Calibri"/>
        <family val="2"/>
        <charset val="238"/>
      </rPr>
      <t xml:space="preserve"> </t>
    </r>
    <r>
      <rPr>
        <sz val="11"/>
        <rFont val="Calibri"/>
        <family val="2"/>
        <charset val="238"/>
      </rPr>
      <t>- spolufinancování provozu</t>
    </r>
  </si>
  <si>
    <t>Realizace programů protidrogové prevence</t>
  </si>
  <si>
    <r>
      <t xml:space="preserve">Preventivní programy v oblasti zdraví a zdravého životního stylu pro žáky základních škol </t>
    </r>
    <r>
      <rPr>
        <sz val="11"/>
        <rFont val="Calibri"/>
        <family val="2"/>
        <charset val="238"/>
      </rPr>
      <t>- v souladu se zdravotním plánem (šikana, kyberšikana, poruchy příjmů potravy, psychické problémy ….</t>
    </r>
  </si>
  <si>
    <r>
      <t>Sdílení zkušeností koordinátorů zdravotního plánu</t>
    </r>
    <r>
      <rPr>
        <sz val="11"/>
        <rFont val="Calibri"/>
        <family val="2"/>
        <charset val="238"/>
      </rPr>
      <t xml:space="preserve"> z jednotlivých škol</t>
    </r>
  </si>
  <si>
    <t>Adaptační strategie na změnu klimatu</t>
  </si>
  <si>
    <t xml:space="preserve">Generel cyklistické dopravy města </t>
  </si>
  <si>
    <t xml:space="preserve">Koncepce rozvoje bydlení </t>
  </si>
  <si>
    <t>IV. střednědobý plán sociálních služeb</t>
  </si>
  <si>
    <t>Zdravotní plán města</t>
  </si>
  <si>
    <t>Plán udržitelné městské mobility</t>
  </si>
  <si>
    <t>Koncepce statické dopravy</t>
  </si>
  <si>
    <t>KPSaVA</t>
  </si>
  <si>
    <t>KPSaVA = Koncepce podpory sportu a volnočasových aktivit</t>
  </si>
  <si>
    <t>Koncepce podpory sportu a volnočasových aktivit</t>
  </si>
  <si>
    <t xml:space="preserve">Místní akční plán ORP </t>
  </si>
  <si>
    <t>Odkaz na web města</t>
  </si>
  <si>
    <t>KRB=Koncepce rozvoje bydlení</t>
  </si>
  <si>
    <t>KRB = Koncepce rozvoje bydlení</t>
  </si>
  <si>
    <t>KRB</t>
  </si>
  <si>
    <r>
      <t>MŠ Krátká</t>
    </r>
    <r>
      <rPr>
        <sz val="11"/>
        <rFont val="Calibri"/>
        <family val="2"/>
        <charset val="238"/>
      </rPr>
      <t xml:space="preserve"> - rekonstrukce terasy a oplocení</t>
    </r>
  </si>
  <si>
    <r>
      <t xml:space="preserve">ul. Sportovní - </t>
    </r>
    <r>
      <rPr>
        <sz val="11"/>
        <color theme="1"/>
        <rFont val="Calibri"/>
        <family val="2"/>
        <charset val="238"/>
      </rPr>
      <t>úprava komunikace, příp. zavedení sdílené zóny</t>
    </r>
  </si>
  <si>
    <r>
      <rPr>
        <b/>
        <sz val="11"/>
        <rFont val="Calibri"/>
        <family val="2"/>
        <charset val="238"/>
      </rPr>
      <t>ul. Janáčkova</t>
    </r>
    <r>
      <rPr>
        <sz val="11"/>
        <rFont val="Calibri"/>
        <family val="2"/>
        <charset val="238"/>
      </rPr>
      <t xml:space="preserve"> - </t>
    </r>
    <r>
      <rPr>
        <b/>
        <sz val="11"/>
        <rFont val="Calibri"/>
        <family val="2"/>
        <charset val="238"/>
      </rPr>
      <t>bezpečný přístup pro pěší -</t>
    </r>
    <r>
      <rPr>
        <sz val="11"/>
        <rFont val="Calibri"/>
        <family val="2"/>
        <charset val="238"/>
      </rPr>
      <t xml:space="preserve"> návrh a projednání ekonomických variant řešení</t>
    </r>
  </si>
  <si>
    <r>
      <rPr>
        <b/>
        <sz val="11"/>
        <rFont val="Calibri"/>
        <family val="2"/>
        <charset val="238"/>
      </rPr>
      <t>Podpora pěší a cyklodopravy</t>
    </r>
    <r>
      <rPr>
        <sz val="11"/>
        <rFont val="Calibri"/>
        <family val="2"/>
        <charset val="238"/>
      </rPr>
      <t xml:space="preserve"> -</t>
    </r>
    <r>
      <rPr>
        <b/>
        <sz val="11"/>
        <rFont val="Calibri"/>
        <family val="2"/>
        <charset val="238"/>
      </rPr>
      <t xml:space="preserve"> </t>
    </r>
    <r>
      <rPr>
        <sz val="11"/>
        <rFont val="Calibri"/>
        <family val="2"/>
        <charset val="238"/>
      </rPr>
      <t>mobiliář, značení, kampaně …</t>
    </r>
  </si>
  <si>
    <r>
      <t>Sjednocení vzhledu sběrných nádob na tříděný odpad</t>
    </r>
    <r>
      <rPr>
        <sz val="11"/>
        <color theme="1"/>
        <rFont val="Calibri"/>
        <family val="2"/>
        <charset val="238"/>
      </rPr>
      <t xml:space="preserve"> - postupná výměna</t>
    </r>
  </si>
  <si>
    <t>Legenda zkratek ve sloupci Vazba na dílčí koncepce</t>
  </si>
  <si>
    <r>
      <t xml:space="preserve">ZŠ Mniší - rozdělení učebny </t>
    </r>
    <r>
      <rPr>
        <sz val="11"/>
        <rFont val="Calibri"/>
        <family val="2"/>
        <charset val="238"/>
      </rPr>
      <t>na 2 pomocí příčky, instalace akustického podhledu v jídelně</t>
    </r>
  </si>
  <si>
    <r>
      <t xml:space="preserve">KD Mniší - </t>
    </r>
    <r>
      <rPr>
        <sz val="11"/>
        <rFont val="Calibri"/>
        <family val="2"/>
        <charset val="238"/>
      </rPr>
      <t>zastřešení venkovní terasy + oprava zpevněné plochy před KD</t>
    </r>
  </si>
  <si>
    <r>
      <t>Zimní stadion -</t>
    </r>
    <r>
      <rPr>
        <sz val="11"/>
        <rFont val="Calibri"/>
        <family val="2"/>
        <charset val="238"/>
      </rPr>
      <t xml:space="preserve"> dokončení rekonstrukce</t>
    </r>
    <r>
      <rPr>
        <b/>
        <sz val="11"/>
        <rFont val="Calibri"/>
        <family val="2"/>
        <charset val="238"/>
      </rPr>
      <t xml:space="preserve"> osvětlení</t>
    </r>
  </si>
  <si>
    <r>
      <t>KDK -</t>
    </r>
    <r>
      <rPr>
        <sz val="11"/>
        <rFont val="Calibri"/>
        <family val="2"/>
        <charset val="238"/>
      </rPr>
      <t xml:space="preserve"> oprava</t>
    </r>
    <r>
      <rPr>
        <b/>
        <sz val="11"/>
        <rFont val="Calibri"/>
        <family val="2"/>
        <charset val="238"/>
      </rPr>
      <t xml:space="preserve"> schodiště</t>
    </r>
    <r>
      <rPr>
        <sz val="11"/>
        <rFont val="Calibri"/>
        <family val="2"/>
        <charset val="238"/>
      </rPr>
      <t>, vč. bezbariérové rampy</t>
    </r>
  </si>
  <si>
    <r>
      <t xml:space="preserve">DPS 320 - </t>
    </r>
    <r>
      <rPr>
        <sz val="11"/>
        <rFont val="Calibri"/>
        <family val="2"/>
        <charset val="238"/>
      </rPr>
      <t>postupná rekonstrukce bytových jednotek</t>
    </r>
  </si>
  <si>
    <r>
      <t>Rekonstrukce VO na území města</t>
    </r>
    <r>
      <rPr>
        <sz val="11"/>
        <rFont val="Calibri"/>
        <family val="2"/>
        <charset val="238"/>
      </rPr>
      <t xml:space="preserve"> - realizace I. etapy</t>
    </r>
    <r>
      <rPr>
        <b/>
        <sz val="11"/>
        <rFont val="Calibri"/>
        <family val="2"/>
        <charset val="238"/>
      </rPr>
      <t xml:space="preserve"> </t>
    </r>
    <r>
      <rPr>
        <sz val="11"/>
        <rFont val="Calibri"/>
        <family val="2"/>
        <charset val="238"/>
      </rPr>
      <t>(dotace MPO), projektová příprava II. etapy</t>
    </r>
  </si>
  <si>
    <r>
      <t>Objekt Školní 890 (Kavárna)</t>
    </r>
    <r>
      <rPr>
        <sz val="11"/>
        <rFont val="Calibri"/>
        <family val="2"/>
        <charset val="238"/>
      </rPr>
      <t xml:space="preserve"> - zateplení fasády, výměna oken, sanace suterénu, výstavba výtahu</t>
    </r>
  </si>
  <si>
    <r>
      <t>Udržení atraktivity Technického muzea</t>
    </r>
    <r>
      <rPr>
        <sz val="11"/>
        <rFont val="Calibri"/>
        <family val="2"/>
        <charset val="238"/>
      </rPr>
      <t xml:space="preserve"> - rekonstrukce objektu za účelem instalace nové expozice (dotace MSK)</t>
    </r>
  </si>
  <si>
    <t>https://koprivnice.cz/dokumenty/ds-1144/p1=4848</t>
  </si>
  <si>
    <r>
      <t>Vybudování soc. zařízení pro obyvatele a návštěvníky města</t>
    </r>
    <r>
      <rPr>
        <sz val="11"/>
        <rFont val="Calibri"/>
        <family val="2"/>
        <charset val="238"/>
      </rPr>
      <t xml:space="preserve"> - úprava prostor v objektu KDK</t>
    </r>
  </si>
  <si>
    <r>
      <t xml:space="preserve">Hřiště pro padel - </t>
    </r>
    <r>
      <rPr>
        <sz val="11"/>
        <rFont val="Calibri"/>
        <family val="2"/>
        <charset val="238"/>
      </rPr>
      <t>příprava plochy v areálu volejbalových hřišť</t>
    </r>
  </si>
  <si>
    <t>* V rámci dotačního programu na podporu estetizace objektů a provozoven v centru města bylo rozděleno 280 tis. Kč, další podpora byla poskytnuta formou individuálních dotací. Podpořené projekty by měly být dokončeny v roce 2025.
* Provozovatelé venkovních posezení mají od města k dispozici jednotný mobiliář.
* V průběhu roku proběhla v centru řada akcí, která přivedla do lokality potenciální zákazníky zdejších provozoven.</t>
  </si>
  <si>
    <t>Ve spolupráci s NJ byl vybrán dodavatel souboru aktivit na podporu podnikatelského prostředí v obou městech. Společnost BeePartner bude tyto aktivity realizovat v průběhu roku 2025.</t>
  </si>
  <si>
    <t>Dvě setkání, jedno s drobnými a jedno s většími, podnikateli se uskutečnila v říjnu 2024.</t>
  </si>
  <si>
    <t>Probíhá zpracování projektové dokumentace na základě schválené studie.</t>
  </si>
  <si>
    <t>Dotace na realizaci z IROP schválena, spolufinancování částečně zajištěno změnou účelového určení individuální dotace MSK. Vybrán dodavatel stavby, předpoklad zahájení stavebních prací 03/2025.</t>
  </si>
  <si>
    <t>Klimatizace byla instalována. 
Projekt podpořený dotací MMR jehož součástí je pořízení mobiliáře pro pořádání akcí v centru města a v pavilonu bude ukončen v roce 2025.</t>
  </si>
  <si>
    <t>II. etapa rekonstrukce objektu zázemí byla ukončena a předána do užívání.</t>
  </si>
  <si>
    <t>Veškeré plánované aktivity byly dokončeny a mobiliář v podobě nových laviček, převlíkáren, mola byly dány do užívání návštěvníkům areálu</t>
  </si>
  <si>
    <t>V 03/2024 proběhlo veřejné projednání záměru revitalizace hřiště, kde byl představen návrh řešení. Následně byla podána žádost o dotaci z IROP prostřednictvím MAS Lašsko. Z důvodu vyčerpání alokace nebyla žádost podpořena. V roce 2024 proběhla z rozpočtu města I. etapa zahrnující rekonstrukci asfaltového povrchu a oplocení sportovního hřiště. Na realizaci II. etapy v roce 2025 bude podána opětovná žádost o dotaci.</t>
  </si>
  <si>
    <t>KDK jako zastřešující organizace Lašské brány Beskyd připravila balíček nových produktů (např. projekt Vychozeno, vochery do vybraných atraktivit jako bonusový program pro zaměstnance firem, nové propagační předměty, …). Proběhl další ročník akce Lašský poklad.</t>
  </si>
  <si>
    <t>Stavba dokončena, předána do užívání.</t>
  </si>
  <si>
    <t>Od prosince byl zahájen zkušební provoz rozšířených autobusových linek. V roce 2025 bude jejich využití monitorováno a vyhodnocováno a následně bude připraven návrh pro další období.</t>
  </si>
  <si>
    <t>Pilotní provoz v roce 2024 zajišťovala společnost NEXT bike, v závěru roku proběhlo výběrové řízení na dodavatele této služby na další 2 roky. Vítězem se stala společnost REKOLA.</t>
  </si>
  <si>
    <t>Provoz linky je zajištován v souladu s uzavřenou smlouvou.</t>
  </si>
  <si>
    <t>Zpracovaná PD pro stavební povolení a vydáno stavení povolení, připravuje se žádost o dotaci z IROP na realizaci stavby.</t>
  </si>
  <si>
    <t>Probíhá projektová příprava. Na náklady s ní spojené byla podána žádost o dotaci z NPO. Připravuje se žádost o dotaci na realizaci stavby z Programu Dostupné nájemní bydlení.</t>
  </si>
  <si>
    <t>Průzkum proběhl v 07/2024, s výsledky průzkumu byli seznámeni zástupci města a prostřednictvím médií a zveřejnění závěrečné zprávy na webu města také veřejnost.</t>
  </si>
  <si>
    <t>Žádost o dotaci schválena, vybrán dodavatel, realizace stavby bude ukončena v roce 2025.</t>
  </si>
  <si>
    <t>Z důvodu nedostatečné alokace ve předmětných výzvách MAS Lašsko nebyl projekt připraven.</t>
  </si>
  <si>
    <t>Žádost o dotaci byla v rámci předběžné alokace schválena. Nákup proběhne v roce 2025.</t>
  </si>
  <si>
    <t>Byla zpracována studie úprav, která byla 05/2024 veřejně projednána s klienty STD Effatha a obyvateli okolních domů. Z důvodu naplněnosti kapacit realizačních firem bude akce realizována v roce 2025.</t>
  </si>
  <si>
    <t>V závěru roku 2024 podána žádost o dotaci na realizaci FTV na budově radnice. Žádost je v procesu hodnocení.</t>
  </si>
  <si>
    <t>Pozastaveno z důvodu přípravy lokality Západ k nabídce developerovi.</t>
  </si>
  <si>
    <t>Statické posouzení zpracováno, stanovisko vlastníka mostu je negativní. Vzhledem k neefektivitě výstavby nové lávky návrh od další realizace upustit a akci z AP vyřadit.</t>
  </si>
  <si>
    <t>Ve spolupráci s MSK probíhá výběrové řízení na dodavatele. Předpoklad zahájení stavby 04-05/2025, doba realizace 3-4 měsíce.</t>
  </si>
  <si>
    <t>Probíhá projektová příprava, předpoklad realizace jaro 2026.</t>
  </si>
  <si>
    <t>Žádost o dotaci schválena, vybrán dodavatel, realizace stavby proběhne 03-06/2025.</t>
  </si>
  <si>
    <t>Zpracovatel PD vybrán 12/2024, studie řešení cyklistického napojení mu bude předána k zapracování do PD obchvatu. Město plánuje co nejdřívější jednání s ŘSD a projektantem.</t>
  </si>
  <si>
    <t>Příprava aktivity byla odložena minimálně do roku 2025.</t>
  </si>
  <si>
    <t>Varianta trasy kolem trati se po projednání jeví jako nerealizovatelná. Výhledově připadá v úvahu revize dosud zpracovaných dokumentací a projektová příprava plnohodnotného chodníku.</t>
  </si>
  <si>
    <t>Zadána opatření směřující k větší informovanosti o cykloboxech. Plán přesunout cykloboxy do dostupnější lokality před úřadem zatím nerealizován pro neshodu na umístění mezi útvary úřadu. Aktuálně se jako potřebná jeví kampaň k propagaci bezpečné jízdy na kole, i v souvislosti s rozvojem provozu sdílených kol.</t>
  </si>
  <si>
    <t>V harmonogramu projektů rozvoje veřejných prostranství je zahájení této akce naplánováno nejdříve na rok 2029. V plánu jsou proto dílčí aktivity, i v návaznosti na revitalizaci centra a také opravy povrchů komunikací.</t>
  </si>
  <si>
    <t>Proběhlo nové posouzení dopravního napojení lokality, která bude určena pro výstavbu RD, v roce 2025 bude zahájena projektová příprava napojení. Bylo rozhodnuto o zpracování regulačního plánu lokality a zahájena příprava zadání.</t>
  </si>
  <si>
    <t>V rámci rekonstrukce objektu tribuny byla provedena příprava na realizaci svádění vod ze střechy tribuny.</t>
  </si>
  <si>
    <t>Provedena revize projektové dokumentace včetně návazností na projekt rekonstrukce koupaliště. Etapa svedení a využití vod od Husovy lípy je připravena k realizaci v případě alokace prostředků do rozpočtu v roce 2025.</t>
  </si>
  <si>
    <t>Zadáno zpracování projektové dokumentace, zahrnující komplexnější rekonstrukci objektu. K realizaci nejdříve v roce 2026.  Jsou monitorovány možné dotační zdroje.</t>
  </si>
  <si>
    <t>Bylo rozhodnuto o zahájení projektové přípravy formou soutěže o návrh a byla připravena zadávací dokumentace pro vyhlášení na začátku roku 2025.</t>
  </si>
  <si>
    <t>Byly zahájeny práce na zadání a zajištění podkladů pro statické posouzení, zadání plánováno v roce 2025.</t>
  </si>
  <si>
    <t>Komise pro architekturu a urbanismus stanovila priority v přípravě revitalizace veřejných prostranství. V případě Sadu E. Beneše se komplexní rekonstrukce v nejbližších letech nepředpokládá, budou však realizována dílčí opatření na stávajících objektech v parku.</t>
  </si>
  <si>
    <t>Proběhla kolaudace s výjimkou zpevněných ploch, plánovaná na rok 2025.</t>
  </si>
  <si>
    <t>Byla zahájena projektová příprava.</t>
  </si>
  <si>
    <t>Ve spolupráci s obcí Tichá byla obnovena jednání s vlastníky potřebných pozemků a dosaženo dílčích posunů v jednání s cílem zahájit v roce 2025 výkupy pozemků a projektovou přípravu.</t>
  </si>
  <si>
    <t xml:space="preserve">Probíhá příprava PD. Předpoklad dokončení DSP 02/2025 DRS 08/2025  Jsou monitorovány možné dotační zdroje. </t>
  </si>
  <si>
    <t xml:space="preserve">Projektová příprava odložena, je na zvážení změna původního zadání,  s ohledem na obtížnou situaci v gastroprovozech, lze očekávat problém při hledání provozovatele. </t>
  </si>
  <si>
    <t>Probíhala příprava PD. Předpoklad zahájení soutěže na zhotovitele je 03/2025.</t>
  </si>
  <si>
    <t xml:space="preserve">Schváleno stavebně-technické řešení. Projektová dokumentace bude dokončena v II. polovině 2025. Realizace předpokládána v roce 2026. </t>
  </si>
  <si>
    <t>Dokončena rekonstrukce terasy. Podepsána smlouva na zhotovitele oplocení (včetně opěrné zdi a přilehlého chodníku). Realizace stavebních prací předpokládána 03/2025 - 07/2025.</t>
  </si>
  <si>
    <t>Jednání budou probíhat v roce 2025.</t>
  </si>
  <si>
    <t>Po diskuzi s požárním technikem se od dílčí realizace ustoupilo. Bude řešeno komplexně s rekonstrukcí celého prostoru KD. Nelze řešit samostatně tak, aby investice nebyla zmařena během následujících 5 let.</t>
  </si>
  <si>
    <t>Připravuje se uzavření smlouvy na zpracování PD pro stavebně technické řešení. Cca v polovině roku 2025 bude zahájena soutěž na zhotovitele výtahu, která bude v režimu design and build pro výtahovou část a dle PD pro stavební část.</t>
  </si>
  <si>
    <t xml:space="preserve">Probíhá projektová příprava, předpoklad vydání stavebního povolení 5-6/2025 a dokončení realizační PD 5/2025.
V listopadu 2024 se uskutečnilo veřejné projednání záměru rekonstrukce areálu koupaliště. </t>
  </si>
  <si>
    <t>Dokončena studie zpevněné plochy, realizace bude probíhat v 1.polovině roku 2025. PD na zastřešení venkovní terasy bude zasmluvněno v 1.čtvrtletí roku 2025.</t>
  </si>
  <si>
    <t>Zahájena soutěž na zhotovitele PD, bez úspěchu. Opakovaně budeme soutěžit pouze zhotovitele studie, na kterou se v 2.polovině roku naváže soutěží pro zhotovitele PD.</t>
  </si>
  <si>
    <t>Dokončena projekční příprava. Soutěž na zhotovitele bude zahájena v 01/2025.</t>
  </si>
  <si>
    <t>Soutěž na zhotovitele proběhla v 12/2024 a proběhla bez úspěchu. Výběrové řízení bylo zrušeno a bude opětovně vyhlášeno v 01/2025.</t>
  </si>
  <si>
    <t>Probíhá projekční příprava. Aktuálně se dokončují možné varianty řešení, které budou následně předloženy k rozhodnutí a postoupeny do další projekční přípravy.</t>
  </si>
  <si>
    <t>změna projektu</t>
  </si>
  <si>
    <t>V průběhu roku došlo k redefinici projektu. Objekt Technického muzea byl převeden MSK, který prostřednictvím své příspěvkové organizace připravuje projekt nové expozice osobních vozů značky Tatra a s tím související stavební úpravy objektu. Plánovanou rekonstrukci bude řešit MSK.</t>
  </si>
  <si>
    <t>Zahájena projekční příprava. Projekční příprava bude dokončena v průběhu roku 2025. Realizace předpokládána v roce 2027.</t>
  </si>
  <si>
    <t>Mapy a zatřízení komunikací dokončeno. Chybí vložit údaje a naměřené délce a šířce jednotlivých úseků.</t>
  </si>
  <si>
    <t>Vyřadit?</t>
  </si>
  <si>
    <t>Příprava aktivity byla odložena minimálně do roku 2026.</t>
  </si>
  <si>
    <t>Na ulici Dvořákova bude odstraněn chodník, který je v havarijním stavu a bude doplněno kolmé parkování. Stavební úpravou bude kapacita parkování rozšířena o 8 parkovacích míst. Akce je před vydáním stavebního povolení. Soutěž na zhotovitele předpokládáme v 03/2025.</t>
  </si>
  <si>
    <t>Bylo připraveno nové nařízení o zpoplatnění parkování ve městě - rozšíření o parkoviště Zelný trh a rozšíření rezidenčních zón - platné od 1.3.2025. Pro přípravu dalších kroků zahájila činnost pracovní skupina pro řešení parkování ve městě, jmenovaná tajemníkem města.</t>
  </si>
  <si>
    <t>Plněno průběžně - v r 2024 - realizace 6 bytů, plán pro 2025 -min. další 3 bytové jednotky.</t>
  </si>
  <si>
    <t>PD dokončena. Čeká se na přidělení finančních prostředků z rozpočtu. Realizace předpokládána v létě 2025.</t>
  </si>
  <si>
    <t>aktivita pro r. 2025</t>
  </si>
  <si>
    <t>Zatím poslední aukce proběhla v roce 2023, uživatelé mají uzavřeny smlouvy na 2 roky.</t>
  </si>
  <si>
    <t>Výměna svítidel za LED v budově MÚ dokončena v 09/2024. Ve výměně svítidel se bude pokračovat také v roce 2025.</t>
  </si>
  <si>
    <t xml:space="preserve">V souvislosti s novelou SZ byla s dotací z IROP pořízena nová výpočetní technika pro pracovníky SUP. </t>
  </si>
  <si>
    <t>Domov pod Bílou horou byl slavnostně otevřen 06/2024. Město se od roku 2025 bude podílet na spolufinancování jeho provozu.</t>
  </si>
  <si>
    <t>Mapování probíhá, dle průběžných výsledků není třeba kapacitu soc. služby navyšovat.</t>
  </si>
  <si>
    <t>Bylo provedeno mapování konkrétních potřeb osob se zdravotním postižením (zejména mentálním) 
v zapojení se do volnočasových aktivit a současně byla zmapována nabídka  volnočasových aktivit a možnost jejich využití osobami se zdravotním postižením (zejména mentálním),  k  tomuto byl vytvořen leták  s nabídkou volnočasových aktivit.</t>
  </si>
  <si>
    <t>Svépomocná skupina osob s duševním onemocněním se schází dle možností jednou týdně, prostory zajistilo město (OSV), samotnou organizaci zajišťuje Slezská diakonie v rámci poskytování sociální služby – sociální rehabilitace. Stejně tak byla Slezskou diakonií v rámci této sociální služby zaměstnána i osoba – peer konzultant.</t>
  </si>
  <si>
    <t>dosud nerealizováno</t>
  </si>
  <si>
    <t>Dne 23. 10. 2024 proběhla beseda „Neber to!“. Tématy bylo jak poznat závislost a jaké důsledky přináší užívání drog. Kdo se nemohl dostavit osobně, měl možnost sledovat stream na Facebookových stránkách města. Tento stream je na FB nadále dostupný.</t>
  </si>
  <si>
    <t xml:space="preserve">Pořízeno 800 ks nádob na papír a nápojový karton. Nádoby formou výpůjčky distribuovány mezi zájemce. </t>
  </si>
  <si>
    <t xml:space="preserve">Byla zakoupena knihobudka, která je vyrobena z textilního kompozitu (tj. textilních vláken a odpadních fólií), dodání 2/2025. Uvedena do provozu jaro/25. </t>
  </si>
  <si>
    <t xml:space="preserve">V r. 2024 probíhal sběr dat a informací/dobré praxe. V r. 2025 posouzení realizovatelnosti = materiál pro RM. </t>
  </si>
  <si>
    <t>Navrženo řešení v nedostupných lokalitách znovuobnovit pytlový sběr. 11/2024 proběhla anketa v daných lokalitách. Lokalitou, kde je o zavedení této služby větší zájem, je v místě zástavby RD "naproti Japstavu". O případném obnovení sběru pytlů ve vybraných lokalitách bude rozhodnuto v roce 2025.</t>
  </si>
  <si>
    <t xml:space="preserve">S vlastníkem nádob, společností Slumeko, odkomunikován požadavek na modernizaci nádob a jednotný vzhled. Vzhledem k finanční náročnosti půjde o postupnou výměnu nádob, které dosluhují.  Výměna zahájena na stanovišti na ul. Lidická.       </t>
  </si>
  <si>
    <t xml:space="preserve">Osvěta probíhá v rámci tradičních akcí, jako Ukliďme Česko, Den Země apod. +  v r. 2024 vydána první Odpadová příloha v KN, na jaře 2024 pokračování roznosu biokyblíčků do domácností, zavedeno třídění na hřbitovech (v rámci osvěty u příležitosti "dušiček" rozdávány zápalky). 
Na r. 2025 je plánována fyzická analýza odpadu (finance v rozpočtu OŽP na r. 2025 již schváleny). </t>
  </si>
  <si>
    <t xml:space="preserve">Ukončení monitoringu vod na skládce v r. 2022. Jednání s vlastníky pozemků s cílem najít společné řešení, jak ukončit dlouholeté dočasné vynětí pozemků ze zemědělského půdního fondu  zatím nebyla zahájena - nutná spolupráce s ORM a vedením. </t>
  </si>
  <si>
    <t xml:space="preserve">V r. 2024 zadán pasport a inventarizace pro lokalitu SEVER, dokončení díla 02/25. V rozpočtu OŽP na r. 2025 schváleno 400 tis.Kč na inventarizaci další lokality. </t>
  </si>
  <si>
    <t xml:space="preserve">zahájeno </t>
  </si>
  <si>
    <t xml:space="preserve">Pořízeno a osázeno 21 ks cortenových nádob. </t>
  </si>
  <si>
    <t xml:space="preserve">Proběhlo jednání s architekty města, kde byly definovány podmínky pro zadání studie. Prověřována možnost nechat zpracovat studenty. </t>
  </si>
  <si>
    <t xml:space="preserve">Zadáno vyprojektování "Revitalizace starých asfaltových hřišť na ul. Francouzská a ul. Moravská", výstup 02/25. </t>
  </si>
  <si>
    <t xml:space="preserve">Opakující se akce. V DDM děti navštěvují kroužky Lego I, Media klub, Plastikoví a papíroví modeláři, Plastikoví modeláři - pokročilí, Robotika a Kybernetika, Technický kroužek. Novými kroužky jsou Dron racing pro začátečníky a pro pokročilé, kroužek PS Pařmeni (e-sporty).   </t>
  </si>
  <si>
    <t>ZŠ a MŠ 17. listopadu nabízí ve spolupráci se Světem vzdělání rozšířenou výuku angličtiny, programování, matematiky a logiky a volnočasový kroužek Klub nadaných dětí.
Ve spolupráci se spolkem Veselá věda nabízí ZŠ a MŠ 17. listopadu a ZŠ Lubina volnočasový badatelský kroužek.</t>
  </si>
  <si>
    <t>Součástí aktivit MAP IV byly i zážitkové workshopy Architekti na školách - pro žáky 5. tříd ZŠ v rámci ORP.</t>
  </si>
  <si>
    <t xml:space="preserve">Obě akce dokončeny, realizovány rozvody vnitřní sítě a byla pořízena koncová zařízení. </t>
  </si>
  <si>
    <t>Probíhají jednání s MSK ve vazbě na rekonstukci objektu Technického muzea a využití prostor pro potřeby nové expozice a provozní prostory muzea. Následně bude definováno využití prostor pro potřeby KDK a s tím související jejich rekonstrukce.</t>
  </si>
  <si>
    <t>Setkání koordinátorů zdravotního plánu je připravováno pro rok 2025.</t>
  </si>
  <si>
    <t>Probíhá příprava PD. Předpoklad dokončení DSP duben 2025, DRS září 2025   Součásti projektové přípravy jsou i drobné stavební úpravy objektu dle požadavku MŠ . Jsou monitorovány možné dotační zdroje.</t>
  </si>
  <si>
    <t>Pracovní skupina byla seznámena s výsledky dotazníkového šetření z roku 2023, bylo navrženo zaměřit se na spolupráci služeb pro cílovou skupinu např. formou případového setkání či case managementu. Pracovníci soc. služeb jsou zapojeni do vzdělávacího projektu MPSV, který je zaměřený na tuto problematiku. Po ukončení kurzu bude navržen další postup.</t>
  </si>
  <si>
    <t>RRLZ se pravidelně setkávala, pro další období byla zahájena diskuse o úpravě formátu setkání a rozšíření počtu členů.</t>
  </si>
  <si>
    <t>Opakující se akce. 
* 13. 11. se uskutečnila přehlídka škol a firem Den tvojí kariéry 
* 18.1. a 22. - 23. 11. - Den otevřených dveří VOSKOP 
* 09.-10.10. - Dny profesí (dříve Přehlídka technických profesí - Řemeslo má zlaté dno)</t>
  </si>
  <si>
    <t>V rámci dotačního programu bylo rozděleno 280 tis. Kč, další podpora byla poskytnuta formou individuálních dotací. Podpořené projekty by měly být dokončeny v roce 2025.
V průběhu roku probíhala příprava městské vyhlášky regulující umístění reklamy, její vyhlášení se předpokládá v roce 2025.</t>
  </si>
  <si>
    <t>Na základě dokončených projektových prací byl vybrán dodavatel, který stavbu pumptracku realizuje v r. 2025. Projektová příprava chodníku pokračuje a bude realizována samostatně v r. 2025.</t>
  </si>
  <si>
    <t>Proběhla koordinační setkání v souvislosti s přípravou harmonogramu akcí a dotačními programy města. OŠKS zpracoval manuál pro pořadatele akcí v centru města.</t>
  </si>
  <si>
    <t>Nové produkty a propagační předměty Lašské brány Beskyd.</t>
  </si>
  <si>
    <t>Dle aktualizovaných informací ŘSD byla zahájena příprava dokumentace pro SP obchvatu. Předpoklad vydání stavebního povolení 2027, předpoklad zahájení stavby 2028.
Projektová příprava plánovaného silničního napojení z PPK byla zahájena ve spolupráci s firmami v PPK, které zafinancují projektovou přípravu a realizaci převezme město. Dokončení PD 02/2025, realizace 2026.</t>
  </si>
  <si>
    <t>Byla zadána změna č. 2 ÚP, jejíž součástí je i jeho konverze do jednotného standardu.</t>
  </si>
  <si>
    <t>Probíhá zpracování PD na základě schválené studie. Předpoklad dokončení DSP 06/2025, DRS 09/2025.</t>
  </si>
  <si>
    <t>Na základě smlouvy s MSID probíhají konzultace a přípravné kroky pro projekty rozvoje bydlení ve městě. Lokalitu Západ aktivně MSID nabízí potenciálním investorům prostřednictvím své databáze a na veletrzích investičních příležitostí.</t>
  </si>
  <si>
    <t>Podpora poskytovatelů sociálních služeb byla poskytována v souladu se schváleným střednědobým plánem soc. služeb.</t>
  </si>
  <si>
    <t>Slezskou diakonií byl zpracován návrh možného řešení vzniku pobytové odlehčovací služby. Bohužel je v kolizi s udržitelností jiného projektu, proto jej bude možno realizovat po r. 2027.</t>
  </si>
  <si>
    <t>V průběhu roku probíhala řada aktivit v rámci realizace MAP IV - zážitkové workshopy pro žáky i jejich učitele, tematické semináře, exkurze, přednášky pro rodiče.</t>
  </si>
  <si>
    <t>Dne 15. 6. se uskutečnila akce VOSKOP DAY - představení školy s doprovodným zábavným programem.
Škola pravidelně pořádá dny otevřených dveří. Na webu školy je možnost její virtuální prohlídky.</t>
  </si>
  <si>
    <t>Byl zpracován návrh studie s plánem dokončení v roce 2025. V souvislosti s projektovou přípravou přestavby historické části budovy ZŠ Náměstí je část prostranství před budovou ZŠ již při zapojení architekta města řešena v rámci těchto prací.</t>
  </si>
  <si>
    <t>V průběhu roku proběhla v centru města řada kulturních, společenských a sportovních akcí organizovaných městem, jeho organizacemi a partnery.
OŠKS zpracoval manuál pro organizátory akcí v centru města, který je k dispozici na webu města.</t>
  </si>
  <si>
    <t>Projekční příprava rozšířena na celou délku ulice, kvůli plánované rekonstrukci plynu. Součástí bude změna provozu v ulici. Akci je nutné koordinovat se společností GASNET. Realizace předpokládána v roce 2026.</t>
  </si>
  <si>
    <t>Společnost ČEZ neustále posouvá přemístění výměníkové stanice do nové pozice, což je podmínka realizace této akce. Cílem urbanistické změny, bude především zlepšit průchod pro pěší v dané lokalitě. Sekundárně bude řešeno parkování v oblasti. Předpokládá se vznik 2-4 nových parkovacích míst.</t>
  </si>
  <si>
    <t>Realizace dokončena - 09/2024. Zůstává oprava sklepních kóji. Realizace 2025.</t>
  </si>
  <si>
    <t>V rámci přípravných prací byl vykoupen vhodný pozemek pro zajištění přístupu do lokality z ul. Obránců míru, v roce 2025 bude zahájena projektová příprava napojení. Byly zahájeny práce na zveřejnění záměru prodeje.</t>
  </si>
  <si>
    <t>Probíhala jednání s investory záměrů individuální výstavby - Pod Zahradami, nad Fojtstvím, s cílem podpořit výstavbu při zajištění zájmů města a obyvatel lokality.</t>
  </si>
  <si>
    <t>Aktuálně dokončována 1.verze nových pravidel. Bude zahájena debata s vedením města o jednotlivých parametrech nových pravidel.</t>
  </si>
  <si>
    <t xml:space="preserve">Části kanalizace již rekolaudovány, u některých stok nutné dořešit odpojení některých objektů. Před převedením na dešťovou kanalizaci je nezbytné, aby byly všechny objekty přepojeny na novou splaškovou kanalizaci. </t>
  </si>
  <si>
    <t>V roce 2024 proběhla realizace I. etapy. V závěru roku byla podána žádost o dotaci na realizaci II. etapy. Aktuálně probíhá výběrové řízení na zhotovitele 2.etapy - instalace 1.157 svítidel. Po realizaci 2.etapy tak bude 1.629 z 2.800 svítidel v LED - roční úspora na fakturách EE kalkulována po dokončení 2.etapy na 1,7 mil Kč.</t>
  </si>
  <si>
    <t>Aktuálně se na této položce systematicky nepracuje. Pro vybudování sítě dobíjecích stanic je nutné zajistit systém provozu. V tuto chvíli se spoléháme pouze na 3. subjekty, kteří s realizací nespěchají vzhledem k malému množství elektromobilů ve městě.
V rámci rekonstrukce parkovací plochy u OC Kaufland byla vybudována veřejná dobíjecí stanice provozovaná skupinou ČEZ.</t>
  </si>
  <si>
    <t>V průběhu roku probíhala příprava nové strategie MÚ, byla provedena analýza vybraných smluvních vztahů k využívaným IS, proběhla školení na využívaní AI, …</t>
  </si>
  <si>
    <t>Vydáno 20 tiskových zpráv; 56 článků v Kopřivnických novinách; cca 30 reportáží KTK. Proběhly 2 tematické výstavy ve vestibulu MÚ.
Oslavy 20. výročí založení SSSmK - výstava poskytovatelů sociálních služeb.
03/24 - přednáška Co je dobré vědět o příspěvku na péči, kompenzačních pomůckách, službě Domova pod Bílou horou.</t>
  </si>
  <si>
    <t>MSK spravuje krajský elektronický katalog soc. služeb https://sluzby.msk.cz/katalog-socialnich-sluzeb</t>
  </si>
  <si>
    <t>Od 3/2024 probíhají 1x měsíčně svépomocné skupiny pro pečující osoby, nepravidelné přednášky, předpoklad rozšíření dobrovolnictví v r. 2025</t>
  </si>
  <si>
    <t xml:space="preserve">Témata jsou jednotlivými školami zařazována ve vybraných ročnících. Aktivity jsou hrazeny z různých zdrojů, státní prostředky na vzdělávání (ONIV) a dále z příspěvku města na tyto aktivity. Podrobný přehled je zveřejněn na webu každé školy ve výroční zprávě (oddíl G). Nad tento rámec jsou městem pořádány veřejné semináře v 10. p. budovy MěÚ (v roce 2024 byla téma sebepoškozování, drogy, šikana). </t>
  </si>
  <si>
    <t>V rámci projektu Aktivní senior 2024 proběhla beseda Senior v dopravě, která byla zaměřena na novinky v provozu na pozemních komunikacích; Dále proběhly Dny duševního zdraví pro školy a veřejnost - teoretické informace i praktické rady ohledně péče o lidskou mysl. Beseda s psychiatrem a psychoterapeutem o sebepoškozování s porozuměním (streamováno na FB)</t>
  </si>
  <si>
    <t>Zpracována studie proveditelnosti OZE (FVE), projednaná v radě města 10.12.2024, usn. Č. 1676. Projekt neřeší sdílení energie mezi jednotlivými objekty.</t>
  </si>
  <si>
    <t>Akce dokončena v 08/2024.</t>
  </si>
  <si>
    <t>Finalizaci studie převzala Komise pro rozvoj veřejných prostranství, předpoklad zahájení následné projektové přípravy v roce 2025.</t>
  </si>
  <si>
    <t>Probíhající stavební práce budou ukončeny 06/2025.</t>
  </si>
  <si>
    <t>PD bude dokončena v 02/2025 - realizace předpokládána v 07/2025.</t>
  </si>
  <si>
    <t>Realizace zahájena v 11/2024, dokončení plánováno v 02/2025.</t>
  </si>
  <si>
    <t>Dokončeno v 08/2024.</t>
  </si>
  <si>
    <t>Dokončeno v 01/2024.</t>
  </si>
  <si>
    <t>Stavba dokončena 06/2024.</t>
  </si>
  <si>
    <t>Stavba dokončena 09/2024.</t>
  </si>
  <si>
    <t>Stavba dokončena 10/2024.</t>
  </si>
  <si>
    <t>Stavba dokončena 04/2024.</t>
  </si>
  <si>
    <t>Akce dokončena v 05/2024.</t>
  </si>
  <si>
    <t>Akce dokončena v 09/2024.</t>
  </si>
  <si>
    <t>Realizace dokončena 09/2024.</t>
  </si>
  <si>
    <t>Konstrukce byly na přední parkoviště u MÚ instalovány na podzim 2024. Osázeny popínavými rostlinami budou v roce 2025.</t>
  </si>
  <si>
    <t>Koncepce schválena ZM usnesením 184/7.3.2024.</t>
  </si>
  <si>
    <t>Dokončeno 09/2024.</t>
  </si>
  <si>
    <t>Podepsána smlouva se zhotovitelem. Zahájení realizace v 03/2025.</t>
  </si>
  <si>
    <t>S ohledem na organizační změny v oblasti muzejnictví byla příprava projektu pozastavena. K zajištění efektivnějšího využití prostor vily chybí řešení depozitáře sbírkových předmětů.</t>
  </si>
  <si>
    <t xml:space="preserve">ORM zajiští zpracování studie řešení lokality, která bude podkladem pro jednání s MSK a převodu dotčených pozemků. </t>
  </si>
  <si>
    <t>Jedná se o průběžnou akci. V roce 2024 byly odstraněny 4 nevyužívané hřiště a byly doplněny herní prvky na hřišti v sadu E. Beneše. Další dětská hřiště byla doplněna o houpačky.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</si>
</sst>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Kč&quot;_-;\-* #,##0.00\ &quot;Kč&quot;_-;_-* &quot;-&quot;??\ &quot;Kč&quot;_-;_-@_-"/>
  </numFmts>
  <fonts count="54" x14ac:knownFonts="1">
    <font>
      <sz val="10"/>
      <name val="Arial"/>
      <charset val="238"/>
    </font>
    <font>
      <sz val="10"/>
      <name val="Arial"/>
      <family val="2"/>
      <charset val="238"/>
    </font>
    <font>
      <b/>
      <sz val="14"/>
      <color indexed="8"/>
      <name val="Calibri"/>
      <family val="2"/>
      <charset val="238"/>
    </font>
    <font>
      <b/>
      <sz val="10"/>
      <name val="Calibri"/>
      <family val="2"/>
      <charset val="238"/>
    </font>
    <font>
      <b/>
      <sz val="10"/>
      <color indexed="8"/>
      <name val="Calibri"/>
      <family val="2"/>
      <charset val="238"/>
    </font>
    <font>
      <sz val="10"/>
      <name val="Calibri"/>
      <family val="2"/>
      <charset val="238"/>
    </font>
    <font>
      <i/>
      <sz val="10"/>
      <name val="Calibri"/>
      <family val="2"/>
      <charset val="238"/>
    </font>
    <font>
      <sz val="8"/>
      <name val="Arial"/>
      <family val="2"/>
      <charset val="238"/>
    </font>
    <font>
      <b/>
      <sz val="9"/>
      <name val="Calibri"/>
      <family val="2"/>
      <charset val="238"/>
    </font>
    <font>
      <b/>
      <sz val="26"/>
      <name val="Arial"/>
      <family val="2"/>
      <charset val="238"/>
    </font>
    <font>
      <sz val="11"/>
      <name val="Calibri"/>
      <family val="2"/>
      <charset val="238"/>
    </font>
    <font>
      <b/>
      <sz val="11"/>
      <color indexed="8"/>
      <name val="Calibri"/>
      <family val="2"/>
      <charset val="238"/>
    </font>
    <font>
      <b/>
      <sz val="11"/>
      <name val="Calibri"/>
      <family val="2"/>
      <charset val="238"/>
    </font>
    <font>
      <sz val="11"/>
      <color indexed="9"/>
      <name val="Calibri"/>
      <family val="2"/>
      <charset val="238"/>
    </font>
    <font>
      <b/>
      <sz val="11"/>
      <color indexed="9"/>
      <name val="Calibri"/>
      <family val="2"/>
      <charset val="238"/>
    </font>
    <font>
      <b/>
      <sz val="15"/>
      <color indexed="54"/>
      <name val="Calibri"/>
      <family val="2"/>
      <charset val="238"/>
    </font>
    <font>
      <b/>
      <sz val="13"/>
      <color indexed="54"/>
      <name val="Calibri"/>
      <family val="2"/>
      <charset val="238"/>
    </font>
    <font>
      <b/>
      <sz val="11"/>
      <color indexed="54"/>
      <name val="Calibri"/>
      <family val="2"/>
      <charset val="238"/>
    </font>
    <font>
      <sz val="18"/>
      <color indexed="54"/>
      <name val="Calibri Light"/>
      <family val="2"/>
      <charset val="238"/>
    </font>
    <font>
      <sz val="11"/>
      <color indexed="60"/>
      <name val="Calibri"/>
      <family val="2"/>
      <charset val="238"/>
    </font>
    <font>
      <sz val="11"/>
      <color indexed="52"/>
      <name val="Calibri"/>
      <family val="2"/>
      <charset val="238"/>
    </font>
    <font>
      <sz val="11"/>
      <color indexed="17"/>
      <name val="Calibri"/>
      <family val="2"/>
      <charset val="238"/>
    </font>
    <font>
      <sz val="11"/>
      <color indexed="10"/>
      <name val="Calibri"/>
      <family val="2"/>
      <charset val="238"/>
    </font>
    <font>
      <sz val="11"/>
      <color indexed="62"/>
      <name val="Calibri"/>
      <family val="2"/>
      <charset val="238"/>
    </font>
    <font>
      <b/>
      <sz val="11"/>
      <color indexed="52"/>
      <name val="Calibri"/>
      <family val="2"/>
      <charset val="238"/>
    </font>
    <font>
      <b/>
      <sz val="11"/>
      <color indexed="63"/>
      <name val="Calibri"/>
      <family val="2"/>
      <charset val="238"/>
    </font>
    <font>
      <i/>
      <sz val="11"/>
      <color indexed="23"/>
      <name val="Calibri"/>
      <family val="2"/>
      <charset val="238"/>
    </font>
    <font>
      <sz val="9"/>
      <name val="Calibri"/>
      <family val="2"/>
      <charset val="238"/>
    </font>
    <font>
      <sz val="9"/>
      <name val="Arial"/>
      <family val="2"/>
      <charset val="238"/>
    </font>
    <font>
      <sz val="10"/>
      <color indexed="12"/>
      <name val="Calibri"/>
      <family val="2"/>
      <charset val="238"/>
    </font>
    <font>
      <sz val="10"/>
      <color indexed="60"/>
      <name val="Arial"/>
      <family val="2"/>
      <charset val="238"/>
    </font>
    <font>
      <sz val="10"/>
      <name val="Arial"/>
      <family val="2"/>
      <charset val="238"/>
    </font>
    <font>
      <b/>
      <sz val="10"/>
      <color indexed="12"/>
      <name val="Calibri"/>
      <family val="2"/>
      <charset val="238"/>
    </font>
    <font>
      <sz val="10"/>
      <color indexed="12"/>
      <name val="Arial"/>
      <family val="2"/>
      <charset val="238"/>
    </font>
    <font>
      <sz val="11"/>
      <color rgb="FFFF0000"/>
      <name val="Calibri"/>
      <family val="2"/>
      <charset val="238"/>
    </font>
    <font>
      <b/>
      <sz val="8"/>
      <name val="Calibri"/>
      <family val="2"/>
      <charset val="238"/>
    </font>
    <font>
      <sz val="11"/>
      <color theme="1"/>
      <name val="Calibri"/>
      <family val="2"/>
      <charset val="238"/>
    </font>
    <font>
      <sz val="11"/>
      <color indexed="60"/>
      <name val="Arial"/>
      <family val="2"/>
      <charset val="238"/>
    </font>
    <font>
      <sz val="11"/>
      <color theme="1"/>
      <name val="Arial"/>
      <family val="2"/>
      <charset val="238"/>
    </font>
    <font>
      <b/>
      <sz val="10.5"/>
      <name val="Calibri"/>
      <family val="2"/>
      <charset val="238"/>
    </font>
    <font>
      <sz val="10.5"/>
      <name val="Calibri"/>
      <family val="2"/>
      <charset val="238"/>
    </font>
    <font>
      <b/>
      <sz val="10.5"/>
      <color indexed="8"/>
      <name val="Calibri"/>
      <family val="2"/>
      <charset val="238"/>
    </font>
    <font>
      <sz val="10"/>
      <color rgb="FFFF0000"/>
      <name val="Calibri"/>
      <family val="2"/>
      <charset val="238"/>
    </font>
    <font>
      <sz val="10"/>
      <color rgb="FFFF0000"/>
      <name val="Arial"/>
      <family val="2"/>
      <charset val="238"/>
    </font>
    <font>
      <sz val="10"/>
      <color theme="1"/>
      <name val="Calibri"/>
      <family val="2"/>
      <charset val="238"/>
    </font>
    <font>
      <b/>
      <sz val="11"/>
      <color theme="1"/>
      <name val="Calibri"/>
      <family val="2"/>
      <charset val="238"/>
    </font>
    <font>
      <sz val="9"/>
      <color theme="1"/>
      <name val="Calibri"/>
      <family val="2"/>
      <charset val="238"/>
    </font>
    <font>
      <sz val="8"/>
      <name val="Calibri"/>
      <family val="2"/>
      <charset val="238"/>
    </font>
    <font>
      <sz val="8"/>
      <color theme="1"/>
      <name val="Calibri"/>
      <family val="2"/>
      <charset val="238"/>
    </font>
    <font>
      <u/>
      <sz val="10"/>
      <color theme="10"/>
      <name val="Arial"/>
      <family val="2"/>
      <charset val="238"/>
    </font>
    <font>
      <b/>
      <sz val="12"/>
      <name val="Arial"/>
      <family val="2"/>
      <charset val="238"/>
    </font>
    <font>
      <sz val="12"/>
      <name val="Arial"/>
      <family val="2"/>
      <charset val="238"/>
    </font>
    <font>
      <sz val="12"/>
      <name val="Calibri"/>
      <family val="2"/>
      <charset val="238"/>
    </font>
    <font>
      <u/>
      <sz val="12"/>
      <color theme="10"/>
      <name val="Arial"/>
      <family val="2"/>
      <charset val="238"/>
    </font>
  </fonts>
  <fills count="33">
    <fill>
      <patternFill patternType="none"/>
    </fill>
    <fill>
      <patternFill patternType="gray125"/>
    </fill>
    <fill>
      <patternFill patternType="solid">
        <fgColor indexed="47"/>
      </patternFill>
    </fill>
    <fill>
      <patternFill patternType="solid">
        <fgColor indexed="26"/>
      </patternFill>
    </fill>
    <fill>
      <patternFill patternType="solid">
        <fgColor indexed="42"/>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55"/>
      </patternFill>
    </fill>
    <fill>
      <patternFill patternType="solid">
        <fgColor indexed="53"/>
      </patternFill>
    </fill>
    <fill>
      <patternFill patternType="solid">
        <fgColor indexed="51"/>
      </patternFill>
    </fill>
    <fill>
      <patternFill patternType="solid">
        <fgColor indexed="62"/>
      </patternFill>
    </fill>
    <fill>
      <patternFill patternType="solid">
        <fgColor indexed="49"/>
        <bgColor indexed="64"/>
      </patternFill>
    </fill>
    <fill>
      <patternFill patternType="solid">
        <fgColor indexed="13"/>
        <bgColor indexed="64"/>
      </patternFill>
    </fill>
    <fill>
      <patternFill patternType="solid">
        <fgColor indexed="29"/>
        <bgColor indexed="64"/>
      </patternFill>
    </fill>
    <fill>
      <patternFill patternType="solid">
        <fgColor indexed="57"/>
        <bgColor indexed="27"/>
      </patternFill>
    </fill>
    <fill>
      <patternFill patternType="solid">
        <fgColor indexed="47"/>
        <bgColor indexed="64"/>
      </patternFill>
    </fill>
    <fill>
      <patternFill patternType="solid">
        <fgColor indexed="41"/>
        <bgColor indexed="64"/>
      </patternFill>
    </fill>
    <fill>
      <patternFill patternType="solid">
        <fgColor indexed="43"/>
        <bgColor indexed="64"/>
      </patternFill>
    </fill>
    <fill>
      <patternFill patternType="solid">
        <fgColor indexed="42"/>
        <bgColor indexed="64"/>
      </patternFill>
    </fill>
    <fill>
      <patternFill patternType="solid">
        <fgColor indexed="9"/>
        <bgColor indexed="64"/>
      </patternFill>
    </fill>
    <fill>
      <patternFill patternType="solid">
        <fgColor indexed="11"/>
        <bgColor indexed="64"/>
      </patternFill>
    </fill>
    <fill>
      <patternFill patternType="solid">
        <fgColor indexed="57"/>
        <bgColor indexed="64"/>
      </patternFill>
    </fill>
    <fill>
      <patternFill patternType="solid">
        <fgColor theme="0"/>
        <bgColor indexed="64"/>
      </patternFill>
    </fill>
    <fill>
      <patternFill patternType="solid">
        <fgColor rgb="FFFF0000"/>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22E608"/>
        <bgColor indexed="64"/>
      </patternFill>
    </fill>
    <fill>
      <patternFill patternType="solid">
        <fgColor rgb="FF00FF00"/>
        <bgColor indexed="64"/>
      </patternFill>
    </fill>
    <fill>
      <patternFill patternType="solid">
        <fgColor rgb="FFFFFF99"/>
        <bgColor indexed="64"/>
      </patternFill>
    </fill>
  </fills>
  <borders count="76">
    <border>
      <left/>
      <right/>
      <top/>
      <bottom/>
      <diagonal/>
    </border>
    <border>
      <left/>
      <right/>
      <top style="thin">
        <color indexed="49"/>
      </top>
      <bottom style="double">
        <color indexed="49"/>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44"/>
      </bottom>
      <diagonal/>
    </border>
    <border>
      <left/>
      <right/>
      <top/>
      <bottom style="medium">
        <color indexed="44"/>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style="thin">
        <color indexed="64"/>
      </right>
      <top style="medium">
        <color indexed="64"/>
      </top>
      <bottom style="thin">
        <color indexed="64"/>
      </bottom>
      <diagonal/>
    </border>
    <border>
      <left/>
      <right/>
      <top/>
      <bottom style="hair">
        <color auto="1"/>
      </bottom>
      <diagonal/>
    </border>
    <border>
      <left/>
      <right/>
      <top style="hair">
        <color auto="1"/>
      </top>
      <bottom style="hair">
        <color auto="1"/>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medium">
        <color indexed="64"/>
      </right>
      <top/>
      <bottom style="thin">
        <color indexed="64"/>
      </bottom>
      <diagonal/>
    </border>
    <border>
      <left/>
      <right style="medium">
        <color indexed="64"/>
      </right>
      <top style="thin">
        <color indexed="64"/>
      </top>
      <bottom/>
      <diagonal/>
    </border>
    <border>
      <left/>
      <right style="thin">
        <color indexed="64"/>
      </right>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diagonal/>
    </border>
    <border>
      <left/>
      <right style="medium">
        <color indexed="64"/>
      </right>
      <top style="thin">
        <color indexed="64"/>
      </top>
      <bottom style="medium">
        <color indexed="64"/>
      </bottom>
      <diagonal/>
    </border>
  </borders>
  <cellStyleXfs count="25">
    <xf numFmtId="0" fontId="0" fillId="0" borderId="0"/>
    <xf numFmtId="0" fontId="11" fillId="0" borderId="1" applyNumberFormat="0" applyFill="0" applyAlignment="0" applyProtection="0"/>
    <xf numFmtId="0" fontId="14" fillId="9" borderId="2" applyNumberFormat="0" applyAlignment="0" applyProtection="0"/>
    <xf numFmtId="44" fontId="1" fillId="0" borderId="0" applyFont="0" applyFill="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6" borderId="0" applyNumberFormat="0" applyBorder="0" applyAlignment="0" applyProtection="0"/>
    <xf numFmtId="0" fontId="1" fillId="3" borderId="6" applyNumberFormat="0" applyFont="0" applyAlignment="0" applyProtection="0"/>
    <xf numFmtId="0" fontId="20" fillId="0" borderId="7" applyNumberFormat="0" applyFill="0" applyAlignment="0" applyProtection="0"/>
    <xf numFmtId="0" fontId="21" fillId="4" borderId="0" applyNumberFormat="0" applyBorder="0" applyAlignment="0" applyProtection="0"/>
    <xf numFmtId="0" fontId="22" fillId="0" borderId="0" applyNumberFormat="0" applyFill="0" applyBorder="0" applyAlignment="0" applyProtection="0"/>
    <xf numFmtId="0" fontId="23" fillId="2" borderId="8" applyNumberFormat="0" applyAlignment="0" applyProtection="0"/>
    <xf numFmtId="0" fontId="24" fillId="5" borderId="8" applyNumberFormat="0" applyAlignment="0" applyProtection="0"/>
    <xf numFmtId="0" fontId="25" fillId="5" borderId="9" applyNumberFormat="0" applyAlignment="0" applyProtection="0"/>
    <xf numFmtId="0" fontId="26" fillId="0" borderId="0" applyNumberFormat="0" applyFill="0" applyBorder="0" applyAlignment="0" applyProtection="0"/>
    <xf numFmtId="0" fontId="13" fillId="7" borderId="0" applyNumberFormat="0" applyBorder="0" applyAlignment="0" applyProtection="0"/>
    <xf numFmtId="0" fontId="13" fillId="10" borderId="0" applyNumberFormat="0" applyBorder="0" applyAlignment="0" applyProtection="0"/>
    <xf numFmtId="0" fontId="13" fillId="9"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8" borderId="0" applyNumberFormat="0" applyBorder="0" applyAlignment="0" applyProtection="0"/>
    <xf numFmtId="0" fontId="49" fillId="0" borderId="0" applyNumberFormat="0" applyFill="0" applyBorder="0" applyAlignment="0" applyProtection="0"/>
  </cellStyleXfs>
  <cellXfs count="706">
    <xf numFmtId="0" fontId="0" fillId="0" borderId="0" xfId="0"/>
    <xf numFmtId="0" fontId="8" fillId="0" borderId="0" xfId="0" applyFont="1" applyAlignment="1">
      <alignment horizontal="center" vertical="center" wrapText="1"/>
    </xf>
    <xf numFmtId="3" fontId="0" fillId="0" borderId="0" xfId="0" applyNumberFormat="1"/>
    <xf numFmtId="0" fontId="0" fillId="0" borderId="0" xfId="0" applyAlignment="1">
      <alignment wrapText="1"/>
    </xf>
    <xf numFmtId="0" fontId="0" fillId="0" borderId="0" xfId="0" applyAlignment="1">
      <alignment horizontal="center" wrapText="1"/>
    </xf>
    <xf numFmtId="0" fontId="9" fillId="0" borderId="0" xfId="0" applyFont="1" applyAlignment="1">
      <alignment wrapText="1"/>
    </xf>
    <xf numFmtId="0" fontId="4" fillId="15" borderId="11" xfId="0" applyFont="1" applyFill="1" applyBorder="1" applyAlignment="1">
      <alignment horizontal="center" wrapText="1"/>
    </xf>
    <xf numFmtId="0" fontId="6" fillId="15" borderId="10" xfId="0" applyFont="1" applyFill="1" applyBorder="1" applyAlignment="1">
      <alignment horizontal="center" wrapText="1"/>
    </xf>
    <xf numFmtId="0" fontId="6" fillId="15" borderId="12" xfId="0" applyFont="1" applyFill="1" applyBorder="1" applyAlignment="1">
      <alignment horizontal="center" wrapText="1"/>
    </xf>
    <xf numFmtId="0" fontId="3" fillId="0" borderId="0" xfId="0" applyFont="1" applyAlignment="1">
      <alignment vertical="center" wrapText="1"/>
    </xf>
    <xf numFmtId="0" fontId="12" fillId="0" borderId="14" xfId="0" applyFont="1" applyBorder="1" applyAlignment="1">
      <alignment vertical="center" wrapText="1"/>
    </xf>
    <xf numFmtId="0" fontId="12" fillId="0" borderId="15" xfId="0" applyFont="1" applyBorder="1" applyAlignment="1">
      <alignment vertical="center" wrapText="1"/>
    </xf>
    <xf numFmtId="0" fontId="5" fillId="0" borderId="16" xfId="0" applyFont="1" applyBorder="1" applyAlignment="1">
      <alignment horizontal="center" vertical="center" wrapText="1"/>
    </xf>
    <xf numFmtId="3" fontId="5" fillId="0" borderId="16" xfId="0" applyNumberFormat="1" applyFont="1" applyBorder="1" applyAlignment="1">
      <alignment vertical="center"/>
    </xf>
    <xf numFmtId="0" fontId="5" fillId="0" borderId="17" xfId="0" applyFont="1" applyBorder="1" applyAlignment="1">
      <alignment horizontal="center" vertical="center" wrapText="1"/>
    </xf>
    <xf numFmtId="3" fontId="5" fillId="0" borderId="17" xfId="0" applyNumberFormat="1" applyFont="1" applyBorder="1" applyAlignment="1">
      <alignment vertical="center"/>
    </xf>
    <xf numFmtId="0" fontId="5" fillId="0" borderId="18" xfId="0" applyFont="1" applyBorder="1" applyAlignment="1">
      <alignment horizontal="center" vertical="center" wrapText="1"/>
    </xf>
    <xf numFmtId="3" fontId="5" fillId="19" borderId="17" xfId="0" applyNumberFormat="1" applyFont="1" applyFill="1" applyBorder="1" applyAlignment="1">
      <alignment vertical="center"/>
    </xf>
    <xf numFmtId="0" fontId="5" fillId="19" borderId="17" xfId="0" applyFont="1" applyFill="1" applyBorder="1" applyAlignment="1">
      <alignment horizontal="center" vertical="center" wrapText="1"/>
    </xf>
    <xf numFmtId="3" fontId="5" fillId="19" borderId="17" xfId="0" applyNumberFormat="1" applyFont="1" applyFill="1" applyBorder="1" applyAlignment="1">
      <alignment horizontal="right" vertical="center"/>
    </xf>
    <xf numFmtId="0" fontId="12" fillId="19" borderId="14" xfId="0" applyFont="1" applyFill="1" applyBorder="1" applyAlignment="1">
      <alignment vertical="center" wrapText="1"/>
    </xf>
    <xf numFmtId="0" fontId="5" fillId="0" borderId="19" xfId="0" applyFont="1" applyBorder="1" applyAlignment="1">
      <alignment horizontal="right" vertical="center"/>
    </xf>
    <xf numFmtId="0" fontId="5" fillId="0" borderId="20" xfId="0" applyFont="1" applyBorder="1" applyAlignment="1">
      <alignment horizontal="right" vertical="center"/>
    </xf>
    <xf numFmtId="0" fontId="5" fillId="0" borderId="22" xfId="0" applyFont="1" applyBorder="1" applyAlignment="1">
      <alignment horizontal="right" vertical="center"/>
    </xf>
    <xf numFmtId="0" fontId="27" fillId="0" borderId="16"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18" xfId="0" applyFont="1" applyBorder="1" applyAlignment="1">
      <alignment horizontal="center" vertical="center" wrapText="1"/>
    </xf>
    <xf numFmtId="0" fontId="27" fillId="19" borderId="17" xfId="0" applyFont="1" applyFill="1" applyBorder="1" applyAlignment="1">
      <alignment horizontal="center" vertical="center" wrapText="1"/>
    </xf>
    <xf numFmtId="0" fontId="28" fillId="0" borderId="0" xfId="0" applyFont="1" applyAlignment="1">
      <alignment wrapText="1"/>
    </xf>
    <xf numFmtId="0" fontId="28" fillId="0" borderId="0" xfId="0" applyFont="1" applyAlignment="1">
      <alignment horizontal="center" wrapText="1"/>
    </xf>
    <xf numFmtId="3" fontId="5" fillId="0" borderId="18" xfId="0" applyNumberFormat="1" applyFont="1" applyBorder="1" applyAlignment="1">
      <alignment horizontal="right" vertical="center"/>
    </xf>
    <xf numFmtId="0" fontId="5" fillId="0" borderId="20" xfId="0" applyFont="1" applyBorder="1" applyAlignment="1">
      <alignment horizontal="right" vertical="center" wrapText="1"/>
    </xf>
    <xf numFmtId="0" fontId="12" fillId="17" borderId="21" xfId="0" applyFont="1" applyFill="1" applyBorder="1" applyAlignment="1">
      <alignment vertical="center" wrapText="1"/>
    </xf>
    <xf numFmtId="0" fontId="10" fillId="19" borderId="21" xfId="0" applyFont="1" applyFill="1" applyBorder="1" applyAlignment="1">
      <alignment vertical="center" wrapText="1"/>
    </xf>
    <xf numFmtId="0" fontId="5" fillId="19" borderId="16" xfId="0" applyFont="1" applyFill="1" applyBorder="1" applyAlignment="1">
      <alignment horizontal="center" vertical="center" wrapText="1"/>
    </xf>
    <xf numFmtId="3" fontId="5" fillId="19" borderId="16" xfId="0" applyNumberFormat="1" applyFont="1" applyFill="1" applyBorder="1" applyAlignment="1">
      <alignment vertical="center"/>
    </xf>
    <xf numFmtId="3" fontId="5" fillId="0" borderId="17" xfId="0" applyNumberFormat="1" applyFont="1" applyBorder="1" applyAlignment="1">
      <alignment horizontal="right" vertical="center"/>
    </xf>
    <xf numFmtId="3" fontId="5" fillId="0" borderId="26" xfId="0" applyNumberFormat="1" applyFont="1" applyBorder="1" applyAlignment="1">
      <alignment horizontal="right" vertical="center"/>
    </xf>
    <xf numFmtId="0" fontId="5" fillId="0" borderId="27" xfId="0" applyFont="1" applyBorder="1" applyAlignment="1">
      <alignment horizontal="right" vertical="center"/>
    </xf>
    <xf numFmtId="0" fontId="5" fillId="0" borderId="22" xfId="0" applyFont="1" applyBorder="1" applyAlignment="1">
      <alignment horizontal="right" vertical="center" wrapText="1"/>
    </xf>
    <xf numFmtId="3" fontId="5" fillId="18" borderId="16" xfId="0" applyNumberFormat="1" applyFont="1" applyFill="1" applyBorder="1" applyAlignment="1">
      <alignment vertical="center"/>
    </xf>
    <xf numFmtId="0" fontId="5" fillId="18" borderId="22" xfId="0" applyFont="1" applyFill="1" applyBorder="1" applyAlignment="1">
      <alignment horizontal="right" vertical="center"/>
    </xf>
    <xf numFmtId="3" fontId="5" fillId="18" borderId="16" xfId="0" applyNumberFormat="1" applyFont="1" applyFill="1" applyBorder="1" applyAlignment="1">
      <alignment horizontal="right" vertical="center"/>
    </xf>
    <xf numFmtId="3" fontId="5" fillId="0" borderId="16" xfId="0" applyNumberFormat="1" applyFont="1" applyBorder="1" applyAlignment="1">
      <alignment horizontal="right" vertical="center"/>
    </xf>
    <xf numFmtId="3" fontId="5" fillId="19" borderId="16" xfId="0" applyNumberFormat="1" applyFont="1" applyFill="1" applyBorder="1" applyAlignment="1">
      <alignment horizontal="right" vertical="center"/>
    </xf>
    <xf numFmtId="0" fontId="27" fillId="18" borderId="16" xfId="0" applyFont="1" applyFill="1" applyBorder="1" applyAlignment="1">
      <alignment horizontal="center" vertical="center" wrapText="1"/>
    </xf>
    <xf numFmtId="0" fontId="27" fillId="18" borderId="17" xfId="0" applyFont="1" applyFill="1" applyBorder="1" applyAlignment="1">
      <alignment horizontal="center" vertical="center" wrapText="1"/>
    </xf>
    <xf numFmtId="3" fontId="5" fillId="0" borderId="26" xfId="0" applyNumberFormat="1" applyFont="1" applyBorder="1" applyAlignment="1">
      <alignment vertical="center"/>
    </xf>
    <xf numFmtId="0" fontId="12" fillId="18" borderId="21" xfId="0" applyFont="1" applyFill="1" applyBorder="1" applyAlignment="1">
      <alignment vertical="center" wrapText="1"/>
    </xf>
    <xf numFmtId="0" fontId="5" fillId="18" borderId="16" xfId="0" applyFont="1" applyFill="1" applyBorder="1" applyAlignment="1">
      <alignment horizontal="center" vertical="center" wrapText="1"/>
    </xf>
    <xf numFmtId="0" fontId="5" fillId="18" borderId="17" xfId="0" applyFont="1" applyFill="1" applyBorder="1" applyAlignment="1">
      <alignment horizontal="center" vertical="center" wrapText="1"/>
    </xf>
    <xf numFmtId="0" fontId="12" fillId="18" borderId="14" xfId="0" applyFont="1" applyFill="1" applyBorder="1" applyAlignment="1">
      <alignment vertical="center" wrapText="1"/>
    </xf>
    <xf numFmtId="0" fontId="12" fillId="18" borderId="30" xfId="0" applyFont="1" applyFill="1" applyBorder="1" applyAlignment="1">
      <alignment vertical="center" wrapText="1"/>
    </xf>
    <xf numFmtId="0" fontId="5" fillId="18" borderId="26" xfId="0" applyFont="1" applyFill="1" applyBorder="1" applyAlignment="1">
      <alignment horizontal="center" vertical="center" wrapText="1"/>
    </xf>
    <xf numFmtId="0" fontId="27" fillId="18" borderId="26" xfId="0" applyFont="1" applyFill="1" applyBorder="1" applyAlignment="1">
      <alignment horizontal="center" vertical="center" wrapText="1"/>
    </xf>
    <xf numFmtId="3" fontId="5" fillId="18" borderId="26" xfId="0" applyNumberFormat="1" applyFont="1" applyFill="1" applyBorder="1" applyAlignment="1">
      <alignment vertical="center"/>
    </xf>
    <xf numFmtId="0" fontId="5" fillId="0" borderId="19" xfId="0" applyFont="1" applyBorder="1" applyAlignment="1">
      <alignment horizontal="right" vertical="center" wrapText="1"/>
    </xf>
    <xf numFmtId="0" fontId="12" fillId="0" borderId="21" xfId="0" applyFont="1" applyBorder="1" applyAlignment="1">
      <alignment vertical="center" wrapText="1"/>
    </xf>
    <xf numFmtId="0" fontId="27" fillId="19" borderId="16" xfId="0" applyFont="1" applyFill="1" applyBorder="1" applyAlignment="1">
      <alignment horizontal="center" vertical="center" wrapText="1"/>
    </xf>
    <xf numFmtId="3" fontId="5" fillId="19" borderId="26" xfId="0" applyNumberFormat="1" applyFont="1" applyFill="1" applyBorder="1" applyAlignment="1">
      <alignment vertical="center"/>
    </xf>
    <xf numFmtId="0" fontId="5" fillId="0" borderId="26" xfId="0" applyFont="1" applyBorder="1" applyAlignment="1">
      <alignment horizontal="center" vertical="center" wrapText="1"/>
    </xf>
    <xf numFmtId="0" fontId="27" fillId="0" borderId="26" xfId="0" applyFont="1" applyBorder="1" applyAlignment="1">
      <alignment horizontal="center" vertical="center" wrapText="1"/>
    </xf>
    <xf numFmtId="0" fontId="12" fillId="19" borderId="21" xfId="0" applyFont="1" applyFill="1" applyBorder="1" applyAlignment="1">
      <alignment vertical="center" wrapText="1"/>
    </xf>
    <xf numFmtId="0" fontId="5" fillId="0" borderId="27" xfId="0" applyFont="1" applyBorder="1" applyAlignment="1">
      <alignment horizontal="right" vertical="center" wrapText="1"/>
    </xf>
    <xf numFmtId="3" fontId="5" fillId="17" borderId="26" xfId="0" applyNumberFormat="1" applyFont="1" applyFill="1" applyBorder="1" applyAlignment="1">
      <alignment horizontal="right" vertical="center"/>
    </xf>
    <xf numFmtId="0" fontId="5" fillId="17" borderId="27" xfId="0" applyFont="1" applyFill="1" applyBorder="1" applyAlignment="1">
      <alignment horizontal="right" vertical="center" wrapText="1"/>
    </xf>
    <xf numFmtId="0" fontId="12" fillId="17" borderId="30" xfId="0" applyFont="1" applyFill="1" applyBorder="1" applyAlignment="1">
      <alignment vertical="center" wrapText="1"/>
    </xf>
    <xf numFmtId="0" fontId="12" fillId="0" borderId="0" xfId="0" applyFont="1" applyAlignment="1">
      <alignment vertical="center" wrapText="1"/>
    </xf>
    <xf numFmtId="0" fontId="12" fillId="20" borderId="21" xfId="0" applyFont="1" applyFill="1" applyBorder="1" applyAlignment="1">
      <alignment vertical="center" wrapText="1"/>
    </xf>
    <xf numFmtId="0" fontId="5" fillId="20" borderId="22" xfId="0" applyFont="1" applyFill="1" applyBorder="1" applyAlignment="1">
      <alignment horizontal="right" vertical="center" wrapText="1"/>
    </xf>
    <xf numFmtId="3" fontId="5" fillId="20" borderId="26" xfId="0" applyNumberFormat="1" applyFont="1" applyFill="1" applyBorder="1" applyAlignment="1">
      <alignment vertical="center"/>
    </xf>
    <xf numFmtId="0" fontId="27" fillId="20" borderId="26" xfId="0" applyFont="1" applyFill="1" applyBorder="1" applyAlignment="1">
      <alignment horizontal="right" vertical="center" wrapText="1"/>
    </xf>
    <xf numFmtId="0" fontId="5" fillId="19" borderId="26" xfId="0" applyFont="1" applyFill="1" applyBorder="1" applyAlignment="1">
      <alignment horizontal="center" vertical="center" wrapText="1"/>
    </xf>
    <xf numFmtId="0" fontId="27" fillId="19" borderId="26" xfId="0" applyFont="1" applyFill="1" applyBorder="1" applyAlignment="1">
      <alignment horizontal="center" vertical="center" wrapText="1"/>
    </xf>
    <xf numFmtId="0" fontId="12" fillId="20" borderId="30" xfId="0" applyFont="1" applyFill="1" applyBorder="1" applyAlignment="1">
      <alignment vertical="center" wrapText="1"/>
    </xf>
    <xf numFmtId="3" fontId="5" fillId="20" borderId="16" xfId="0" applyNumberFormat="1" applyFont="1" applyFill="1" applyBorder="1" applyAlignment="1">
      <alignment vertical="center"/>
    </xf>
    <xf numFmtId="0" fontId="5" fillId="20" borderId="26" xfId="0" applyFont="1" applyFill="1" applyBorder="1" applyAlignment="1">
      <alignment horizontal="center" vertical="center" wrapText="1"/>
    </xf>
    <xf numFmtId="0" fontId="27" fillId="20" borderId="26" xfId="0" applyFont="1" applyFill="1" applyBorder="1" applyAlignment="1">
      <alignment horizontal="center" vertical="center" wrapText="1"/>
    </xf>
    <xf numFmtId="2" fontId="30" fillId="0" borderId="0" xfId="0" applyNumberFormat="1" applyFont="1" applyAlignment="1">
      <alignment horizontal="left" wrapText="1"/>
    </xf>
    <xf numFmtId="0" fontId="30" fillId="0" borderId="0" xfId="0" applyFont="1" applyAlignment="1">
      <alignment horizontal="left" wrapText="1"/>
    </xf>
    <xf numFmtId="0" fontId="30" fillId="0" borderId="0" xfId="0" applyFont="1" applyAlignment="1">
      <alignment horizontal="left"/>
    </xf>
    <xf numFmtId="0" fontId="31" fillId="0" borderId="0" xfId="0" applyFont="1" applyAlignment="1">
      <alignment wrapText="1"/>
    </xf>
    <xf numFmtId="0" fontId="12" fillId="0" borderId="30" xfId="0" applyFont="1" applyBorder="1" applyAlignment="1">
      <alignment vertical="center" wrapText="1"/>
    </xf>
    <xf numFmtId="3" fontId="27" fillId="20" borderId="26" xfId="0" applyNumberFormat="1" applyFont="1" applyFill="1" applyBorder="1" applyAlignment="1">
      <alignment horizontal="right" vertical="center" wrapText="1"/>
    </xf>
    <xf numFmtId="3" fontId="5" fillId="20" borderId="16" xfId="0" applyNumberFormat="1" applyFont="1" applyFill="1" applyBorder="1" applyAlignment="1">
      <alignment horizontal="right" vertical="center"/>
    </xf>
    <xf numFmtId="0" fontId="5" fillId="17" borderId="26" xfId="0" applyFont="1" applyFill="1" applyBorder="1" applyAlignment="1">
      <alignment horizontal="center" vertical="center" wrapText="1"/>
    </xf>
    <xf numFmtId="0" fontId="27" fillId="17" borderId="26" xfId="0" applyFont="1" applyFill="1" applyBorder="1" applyAlignment="1">
      <alignment horizontal="center" vertical="center" wrapText="1"/>
    </xf>
    <xf numFmtId="0" fontId="5" fillId="17" borderId="16" xfId="0" applyFont="1" applyFill="1" applyBorder="1" applyAlignment="1">
      <alignment horizontal="center" vertical="center" wrapText="1"/>
    </xf>
    <xf numFmtId="0" fontId="27" fillId="17" borderId="16" xfId="0" applyFont="1" applyFill="1" applyBorder="1" applyAlignment="1">
      <alignment horizontal="center" vertical="center" wrapText="1"/>
    </xf>
    <xf numFmtId="0" fontId="5" fillId="20" borderId="16" xfId="0" applyFont="1" applyFill="1" applyBorder="1" applyAlignment="1">
      <alignment horizontal="center" vertical="center" wrapText="1"/>
    </xf>
    <xf numFmtId="0" fontId="27" fillId="20" borderId="16" xfId="0" applyFont="1" applyFill="1" applyBorder="1" applyAlignment="1">
      <alignment horizontal="center" vertical="center" wrapText="1"/>
    </xf>
    <xf numFmtId="0" fontId="5" fillId="20" borderId="27" xfId="0" applyFont="1" applyFill="1" applyBorder="1" applyAlignment="1">
      <alignment horizontal="right" vertical="center" wrapText="1"/>
    </xf>
    <xf numFmtId="0" fontId="31" fillId="0" borderId="0" xfId="0" applyFont="1"/>
    <xf numFmtId="0" fontId="31" fillId="0" borderId="0" xfId="0" applyFont="1" applyAlignment="1">
      <alignment horizontal="center" wrapText="1"/>
    </xf>
    <xf numFmtId="3" fontId="31" fillId="0" borderId="0" xfId="0" applyNumberFormat="1" applyFont="1"/>
    <xf numFmtId="0" fontId="5" fillId="18" borderId="27" xfId="0" applyFont="1" applyFill="1" applyBorder="1" applyAlignment="1">
      <alignment horizontal="right" vertical="center"/>
    </xf>
    <xf numFmtId="0" fontId="32" fillId="0" borderId="34" xfId="0" applyFont="1" applyBorder="1" applyAlignment="1">
      <alignment horizontal="center" wrapText="1"/>
    </xf>
    <xf numFmtId="0" fontId="33" fillId="0" borderId="0" xfId="0" applyFont="1"/>
    <xf numFmtId="0" fontId="30" fillId="0" borderId="0" xfId="0" applyFont="1"/>
    <xf numFmtId="0" fontId="30" fillId="0" borderId="0" xfId="0" applyFont="1" applyAlignment="1">
      <alignment wrapText="1"/>
    </xf>
    <xf numFmtId="0" fontId="30" fillId="0" borderId="0" xfId="0" applyFont="1" applyAlignment="1">
      <alignment horizontal="center" wrapText="1"/>
    </xf>
    <xf numFmtId="0" fontId="5" fillId="19" borderId="18" xfId="0" applyFont="1" applyFill="1" applyBorder="1" applyAlignment="1">
      <alignment horizontal="center" vertical="center" wrapText="1"/>
    </xf>
    <xf numFmtId="3" fontId="5" fillId="19" borderId="18" xfId="0" applyNumberFormat="1" applyFont="1" applyFill="1" applyBorder="1" applyAlignment="1">
      <alignment horizontal="right" vertical="center"/>
    </xf>
    <xf numFmtId="0" fontId="10" fillId="19" borderId="30" xfId="0" applyFont="1" applyFill="1" applyBorder="1" applyAlignment="1">
      <alignment vertical="center" wrapText="1"/>
    </xf>
    <xf numFmtId="0" fontId="5" fillId="22" borderId="17" xfId="0" applyFont="1" applyFill="1" applyBorder="1" applyAlignment="1">
      <alignment horizontal="center" vertical="center" wrapText="1"/>
    </xf>
    <xf numFmtId="0" fontId="32" fillId="0" borderId="35" xfId="0" applyFont="1" applyBorder="1" applyAlignment="1">
      <alignment horizontal="center" wrapText="1"/>
    </xf>
    <xf numFmtId="0" fontId="32" fillId="0" borderId="36" xfId="0" applyFont="1" applyBorder="1" applyAlignment="1">
      <alignment horizontal="center" wrapText="1"/>
    </xf>
    <xf numFmtId="0" fontId="5" fillId="25" borderId="17" xfId="0" applyFont="1" applyFill="1" applyBorder="1" applyAlignment="1">
      <alignment horizontal="center" vertical="center" wrapText="1"/>
    </xf>
    <xf numFmtId="0" fontId="12" fillId="0" borderId="13" xfId="0" applyFont="1" applyBorder="1" applyAlignment="1">
      <alignment vertical="center" wrapText="1"/>
    </xf>
    <xf numFmtId="0" fontId="5" fillId="0" borderId="28" xfId="0" applyFont="1" applyBorder="1" applyAlignment="1">
      <alignment horizontal="center" vertical="center" wrapText="1"/>
    </xf>
    <xf numFmtId="0" fontId="27" fillId="0" borderId="28" xfId="0" applyFont="1" applyBorder="1" applyAlignment="1">
      <alignment horizontal="center" vertical="center" wrapText="1"/>
    </xf>
    <xf numFmtId="0" fontId="5" fillId="24" borderId="17" xfId="0" applyFont="1" applyFill="1" applyBorder="1" applyAlignment="1">
      <alignment horizontal="center" vertical="center" wrapText="1"/>
    </xf>
    <xf numFmtId="3" fontId="5" fillId="19" borderId="18" xfId="0" applyNumberFormat="1" applyFont="1" applyFill="1" applyBorder="1" applyAlignment="1">
      <alignment vertical="center"/>
    </xf>
    <xf numFmtId="0" fontId="5" fillId="24" borderId="16" xfId="0" applyFont="1" applyFill="1" applyBorder="1" applyAlignment="1">
      <alignment horizontal="center" vertical="center" wrapText="1"/>
    </xf>
    <xf numFmtId="0" fontId="5" fillId="24" borderId="26" xfId="0" applyFont="1" applyFill="1" applyBorder="1" applyAlignment="1">
      <alignment horizontal="center" vertical="center" wrapText="1"/>
    </xf>
    <xf numFmtId="0" fontId="12" fillId="24" borderId="14" xfId="0" applyFont="1" applyFill="1" applyBorder="1" applyAlignment="1">
      <alignment vertical="center" wrapText="1"/>
    </xf>
    <xf numFmtId="0" fontId="27" fillId="24" borderId="17" xfId="0" applyFont="1" applyFill="1" applyBorder="1" applyAlignment="1">
      <alignment horizontal="center" vertical="center" wrapText="1"/>
    </xf>
    <xf numFmtId="3" fontId="5" fillId="24" borderId="17" xfId="0" applyNumberFormat="1" applyFont="1" applyFill="1" applyBorder="1" applyAlignment="1">
      <alignment horizontal="right" vertical="center"/>
    </xf>
    <xf numFmtId="0" fontId="12" fillId="24" borderId="30" xfId="0" applyFont="1" applyFill="1" applyBorder="1" applyAlignment="1">
      <alignment vertical="center" wrapText="1"/>
    </xf>
    <xf numFmtId="0" fontId="27" fillId="24" borderId="26" xfId="0" applyFont="1" applyFill="1" applyBorder="1" applyAlignment="1">
      <alignment horizontal="center" vertical="center" wrapText="1"/>
    </xf>
    <xf numFmtId="3" fontId="5" fillId="24" borderId="26" xfId="0" applyNumberFormat="1" applyFont="1" applyFill="1" applyBorder="1" applyAlignment="1">
      <alignment horizontal="right" vertical="center"/>
    </xf>
    <xf numFmtId="0" fontId="5" fillId="24" borderId="27" xfId="0" applyFont="1" applyFill="1" applyBorder="1" applyAlignment="1">
      <alignment horizontal="right" vertical="center"/>
    </xf>
    <xf numFmtId="0" fontId="12" fillId="24" borderId="21" xfId="0" applyFont="1" applyFill="1" applyBorder="1" applyAlignment="1">
      <alignment vertical="center" wrapText="1"/>
    </xf>
    <xf numFmtId="0" fontId="27" fillId="24" borderId="16" xfId="0" applyFont="1" applyFill="1" applyBorder="1" applyAlignment="1">
      <alignment horizontal="center" vertical="center" wrapText="1"/>
    </xf>
    <xf numFmtId="3" fontId="5" fillId="24" borderId="16" xfId="0" applyNumberFormat="1" applyFont="1" applyFill="1" applyBorder="1" applyAlignment="1">
      <alignment vertical="center"/>
    </xf>
    <xf numFmtId="3" fontId="5" fillId="24" borderId="16" xfId="0" applyNumberFormat="1" applyFont="1" applyFill="1" applyBorder="1" applyAlignment="1">
      <alignment horizontal="right" vertical="center"/>
    </xf>
    <xf numFmtId="0" fontId="5" fillId="24" borderId="22" xfId="0" applyFont="1" applyFill="1" applyBorder="1" applyAlignment="1">
      <alignment horizontal="right" vertical="center"/>
    </xf>
    <xf numFmtId="3" fontId="5" fillId="24" borderId="26" xfId="0" applyNumberFormat="1" applyFont="1" applyFill="1" applyBorder="1" applyAlignment="1">
      <alignment vertical="center"/>
    </xf>
    <xf numFmtId="0" fontId="5" fillId="18" borderId="22" xfId="0" applyFont="1" applyFill="1" applyBorder="1" applyAlignment="1">
      <alignment horizontal="right" vertical="center" wrapText="1"/>
    </xf>
    <xf numFmtId="0" fontId="5" fillId="24" borderId="19" xfId="0" applyFont="1" applyFill="1" applyBorder="1" applyAlignment="1">
      <alignment horizontal="right" vertical="center" wrapText="1"/>
    </xf>
    <xf numFmtId="3" fontId="5" fillId="0" borderId="17" xfId="0" applyNumberFormat="1" applyFont="1" applyBorder="1" applyAlignment="1">
      <alignment horizontal="center" vertical="center"/>
    </xf>
    <xf numFmtId="0" fontId="12" fillId="20" borderId="13" xfId="0" applyFont="1" applyFill="1" applyBorder="1" applyAlignment="1">
      <alignment vertical="center" wrapText="1"/>
    </xf>
    <xf numFmtId="0" fontId="5" fillId="19" borderId="22" xfId="0" applyFont="1" applyFill="1" applyBorder="1" applyAlignment="1">
      <alignment horizontal="right" vertical="center"/>
    </xf>
    <xf numFmtId="0" fontId="5" fillId="19" borderId="19" xfId="0" applyFont="1" applyFill="1" applyBorder="1" applyAlignment="1">
      <alignment horizontal="right" vertical="center"/>
    </xf>
    <xf numFmtId="0" fontId="12" fillId="19" borderId="30" xfId="0" applyFont="1" applyFill="1" applyBorder="1" applyAlignment="1">
      <alignment vertical="center" wrapText="1"/>
    </xf>
    <xf numFmtId="0" fontId="5" fillId="19" borderId="27" xfId="0" applyFont="1" applyFill="1" applyBorder="1" applyAlignment="1">
      <alignment horizontal="right" vertical="center"/>
    </xf>
    <xf numFmtId="0" fontId="10" fillId="0" borderId="15" xfId="0" applyFont="1" applyBorder="1" applyAlignment="1">
      <alignment vertical="center" wrapText="1"/>
    </xf>
    <xf numFmtId="3" fontId="5" fillId="17" borderId="16" xfId="0" applyNumberFormat="1" applyFont="1" applyFill="1" applyBorder="1" applyAlignment="1">
      <alignment horizontal="right" vertical="center"/>
    </xf>
    <xf numFmtId="0" fontId="5" fillId="17" borderId="22" xfId="0" applyFont="1" applyFill="1" applyBorder="1" applyAlignment="1">
      <alignment horizontal="right" vertical="center" wrapText="1"/>
    </xf>
    <xf numFmtId="0" fontId="29" fillId="0" borderId="45" xfId="0" applyFont="1" applyBorder="1" applyAlignment="1">
      <alignment horizontal="right" vertical="center" wrapText="1"/>
    </xf>
    <xf numFmtId="0" fontId="12" fillId="17" borderId="14" xfId="0" applyFont="1" applyFill="1" applyBorder="1" applyAlignment="1">
      <alignment vertical="center" wrapText="1"/>
    </xf>
    <xf numFmtId="0" fontId="5" fillId="17" borderId="17" xfId="0" applyFont="1" applyFill="1" applyBorder="1" applyAlignment="1">
      <alignment horizontal="center" vertical="center" wrapText="1"/>
    </xf>
    <xf numFmtId="0" fontId="27" fillId="17" borderId="17" xfId="0" applyFont="1" applyFill="1" applyBorder="1" applyAlignment="1">
      <alignment horizontal="center" vertical="center" wrapText="1"/>
    </xf>
    <xf numFmtId="3" fontId="5" fillId="17" borderId="17" xfId="0" applyNumberFormat="1" applyFont="1" applyFill="1" applyBorder="1" applyAlignment="1">
      <alignment horizontal="right" vertical="center"/>
    </xf>
    <xf numFmtId="0" fontId="5" fillId="17" borderId="19" xfId="0" applyFont="1" applyFill="1" applyBorder="1" applyAlignment="1">
      <alignment horizontal="right" vertical="center" wrapText="1"/>
    </xf>
    <xf numFmtId="0" fontId="29" fillId="0" borderId="46" xfId="0" applyFont="1" applyBorder="1" applyAlignment="1">
      <alignment horizontal="right" vertical="center" wrapText="1"/>
    </xf>
    <xf numFmtId="0" fontId="29" fillId="24" borderId="43" xfId="0" applyFont="1" applyFill="1" applyBorder="1" applyAlignment="1">
      <alignment horizontal="right" vertical="center" wrapText="1"/>
    </xf>
    <xf numFmtId="3" fontId="5" fillId="18" borderId="17" xfId="0" applyNumberFormat="1" applyFont="1" applyFill="1" applyBorder="1" applyAlignment="1">
      <alignment vertical="center"/>
    </xf>
    <xf numFmtId="3" fontId="5" fillId="18" borderId="17" xfId="0" applyNumberFormat="1" applyFont="1" applyFill="1" applyBorder="1" applyAlignment="1">
      <alignment horizontal="right" vertical="center"/>
    </xf>
    <xf numFmtId="0" fontId="5" fillId="18" borderId="19" xfId="0" applyFont="1" applyFill="1" applyBorder="1" applyAlignment="1">
      <alignment horizontal="right" vertical="center"/>
    </xf>
    <xf numFmtId="0" fontId="5" fillId="18" borderId="19" xfId="0" applyFont="1" applyFill="1" applyBorder="1" applyAlignment="1">
      <alignment horizontal="right" vertical="center" wrapText="1"/>
    </xf>
    <xf numFmtId="0" fontId="5" fillId="19" borderId="20" xfId="0" applyFont="1" applyFill="1" applyBorder="1" applyAlignment="1">
      <alignment horizontal="right" vertical="center"/>
    </xf>
    <xf numFmtId="0" fontId="29" fillId="0" borderId="14" xfId="0" applyFont="1" applyBorder="1" applyAlignment="1">
      <alignment horizontal="right" vertical="center"/>
    </xf>
    <xf numFmtId="0" fontId="10" fillId="0" borderId="19" xfId="0" applyFont="1" applyBorder="1" applyAlignment="1">
      <alignment vertical="center" wrapText="1"/>
    </xf>
    <xf numFmtId="0" fontId="33" fillId="0" borderId="0" xfId="0" applyFont="1" applyAlignment="1">
      <alignment horizontal="center"/>
    </xf>
    <xf numFmtId="0" fontId="5" fillId="0" borderId="14" xfId="0" applyFont="1" applyBorder="1" applyAlignment="1">
      <alignment horizontal="center" vertical="center" wrapText="1"/>
    </xf>
    <xf numFmtId="0" fontId="29" fillId="0" borderId="14" xfId="0" applyFont="1" applyBorder="1" applyAlignment="1">
      <alignment horizontal="center" vertical="center"/>
    </xf>
    <xf numFmtId="0" fontId="29" fillId="26" borderId="14" xfId="0" applyFont="1" applyFill="1" applyBorder="1" applyAlignment="1">
      <alignment horizontal="center" vertical="center"/>
    </xf>
    <xf numFmtId="0" fontId="29" fillId="0" borderId="14" xfId="0" applyFont="1" applyBorder="1" applyAlignment="1">
      <alignment horizontal="center" vertical="center" wrapText="1"/>
    </xf>
    <xf numFmtId="0" fontId="29" fillId="26" borderId="14" xfId="0" applyFont="1" applyFill="1" applyBorder="1" applyAlignment="1">
      <alignment horizontal="center" vertical="center" wrapText="1"/>
    </xf>
    <xf numFmtId="0" fontId="29" fillId="24" borderId="14" xfId="0" applyFont="1" applyFill="1" applyBorder="1" applyAlignment="1">
      <alignment horizontal="center" vertical="center"/>
    </xf>
    <xf numFmtId="0" fontId="29" fillId="27" borderId="44" xfId="0" applyFont="1" applyFill="1" applyBorder="1" applyAlignment="1">
      <alignment horizontal="center" vertical="center" wrapText="1"/>
    </xf>
    <xf numFmtId="0" fontId="5" fillId="21" borderId="17" xfId="0" applyFont="1" applyFill="1" applyBorder="1" applyAlignment="1">
      <alignment horizontal="center" vertical="center" wrapText="1"/>
    </xf>
    <xf numFmtId="0" fontId="5" fillId="19" borderId="22" xfId="0" applyFont="1" applyFill="1" applyBorder="1" applyAlignment="1">
      <alignment horizontal="right" vertical="center" wrapText="1"/>
    </xf>
    <xf numFmtId="0" fontId="12" fillId="21" borderId="14" xfId="0" applyFont="1" applyFill="1" applyBorder="1" applyAlignment="1">
      <alignment vertical="center" wrapText="1"/>
    </xf>
    <xf numFmtId="0" fontId="27" fillId="21" borderId="17" xfId="0" applyFont="1" applyFill="1" applyBorder="1" applyAlignment="1">
      <alignment horizontal="center" vertical="center" wrapText="1"/>
    </xf>
    <xf numFmtId="3" fontId="5" fillId="21" borderId="17" xfId="0" applyNumberFormat="1" applyFont="1" applyFill="1" applyBorder="1" applyAlignment="1">
      <alignment horizontal="right" vertical="center"/>
    </xf>
    <xf numFmtId="0" fontId="5" fillId="21" borderId="19" xfId="0" applyFont="1" applyFill="1" applyBorder="1" applyAlignment="1">
      <alignment horizontal="right" vertical="center" wrapText="1"/>
    </xf>
    <xf numFmtId="0" fontId="12" fillId="20" borderId="48" xfId="0" applyFont="1" applyFill="1" applyBorder="1" applyAlignment="1">
      <alignment vertical="center" wrapText="1"/>
    </xf>
    <xf numFmtId="0" fontId="5" fillId="20" borderId="49" xfId="0" applyFont="1" applyFill="1" applyBorder="1" applyAlignment="1">
      <alignment horizontal="center" vertical="center" wrapText="1"/>
    </xf>
    <xf numFmtId="0" fontId="27" fillId="20" borderId="49" xfId="0" applyFont="1" applyFill="1" applyBorder="1" applyAlignment="1">
      <alignment horizontal="center" vertical="center" wrapText="1"/>
    </xf>
    <xf numFmtId="0" fontId="5" fillId="20" borderId="50" xfId="0" applyFont="1" applyFill="1" applyBorder="1" applyAlignment="1">
      <alignment horizontal="right" vertical="center" wrapText="1"/>
    </xf>
    <xf numFmtId="0" fontId="3" fillId="16" borderId="31" xfId="0" applyFont="1" applyFill="1" applyBorder="1" applyAlignment="1">
      <alignment horizontal="center" wrapText="1"/>
    </xf>
    <xf numFmtId="0" fontId="6" fillId="16" borderId="24" xfId="0" applyFont="1" applyFill="1" applyBorder="1" applyAlignment="1">
      <alignment horizontal="center" wrapText="1"/>
    </xf>
    <xf numFmtId="0" fontId="6" fillId="16" borderId="54" xfId="0" applyFont="1" applyFill="1" applyBorder="1" applyAlignment="1">
      <alignment horizontal="center" wrapText="1"/>
    </xf>
    <xf numFmtId="0" fontId="4" fillId="14" borderId="31" xfId="0" applyFont="1" applyFill="1" applyBorder="1" applyAlignment="1">
      <alignment horizontal="center" wrapText="1"/>
    </xf>
    <xf numFmtId="0" fontId="6" fillId="14" borderId="24" xfId="0" applyFont="1" applyFill="1" applyBorder="1" applyAlignment="1">
      <alignment horizontal="center" wrapText="1"/>
    </xf>
    <xf numFmtId="0" fontId="3" fillId="13" borderId="31" xfId="0" applyFont="1" applyFill="1" applyBorder="1" applyAlignment="1">
      <alignment horizontal="center" wrapText="1"/>
    </xf>
    <xf numFmtId="0" fontId="6" fillId="13" borderId="24" xfId="0" applyFont="1" applyFill="1" applyBorder="1" applyAlignment="1">
      <alignment horizontal="center" wrapText="1"/>
    </xf>
    <xf numFmtId="0" fontId="12" fillId="18" borderId="53" xfId="0" applyFont="1" applyFill="1" applyBorder="1" applyAlignment="1">
      <alignment vertical="center" wrapText="1"/>
    </xf>
    <xf numFmtId="0" fontId="5" fillId="18" borderId="54" xfId="0" applyFont="1" applyFill="1" applyBorder="1" applyAlignment="1">
      <alignment horizontal="center" vertical="center" wrapText="1"/>
    </xf>
    <xf numFmtId="0" fontId="27" fillId="18" borderId="54" xfId="0" applyFont="1" applyFill="1" applyBorder="1" applyAlignment="1">
      <alignment horizontal="center" vertical="center" wrapText="1"/>
    </xf>
    <xf numFmtId="3" fontId="5" fillId="18" borderId="54" xfId="0" applyNumberFormat="1" applyFont="1" applyFill="1" applyBorder="1" applyAlignment="1">
      <alignment vertical="center"/>
    </xf>
    <xf numFmtId="3" fontId="5" fillId="18" borderId="54" xfId="0" applyNumberFormat="1" applyFont="1" applyFill="1" applyBorder="1" applyAlignment="1">
      <alignment horizontal="right" vertical="center"/>
    </xf>
    <xf numFmtId="0" fontId="5" fillId="18" borderId="55" xfId="0" applyFont="1" applyFill="1" applyBorder="1" applyAlignment="1">
      <alignment horizontal="right" vertical="center" wrapText="1"/>
    </xf>
    <xf numFmtId="0" fontId="12" fillId="19" borderId="48" xfId="0" applyFont="1" applyFill="1" applyBorder="1" applyAlignment="1">
      <alignment vertical="center" wrapText="1"/>
    </xf>
    <xf numFmtId="0" fontId="5" fillId="19" borderId="49" xfId="0" applyFont="1" applyFill="1" applyBorder="1" applyAlignment="1">
      <alignment horizontal="center" vertical="center" wrapText="1"/>
    </xf>
    <xf numFmtId="0" fontId="27" fillId="19" borderId="49" xfId="0" applyFont="1" applyFill="1" applyBorder="1" applyAlignment="1">
      <alignment horizontal="center" vertical="center" wrapText="1"/>
    </xf>
    <xf numFmtId="3" fontId="5" fillId="19" borderId="31" xfId="0" applyNumberFormat="1" applyFont="1" applyFill="1" applyBorder="1" applyAlignment="1">
      <alignment horizontal="right" vertical="center"/>
    </xf>
    <xf numFmtId="0" fontId="5" fillId="0" borderId="49" xfId="0" applyFont="1" applyBorder="1" applyAlignment="1">
      <alignment horizontal="center" vertical="center" wrapText="1"/>
    </xf>
    <xf numFmtId="0" fontId="5" fillId="0" borderId="50" xfId="0" applyFont="1" applyBorder="1" applyAlignment="1">
      <alignment horizontal="right" vertical="center" wrapText="1"/>
    </xf>
    <xf numFmtId="0" fontId="10" fillId="0" borderId="52" xfId="0" applyFont="1" applyBorder="1" applyAlignment="1">
      <alignment vertical="center" wrapText="1"/>
    </xf>
    <xf numFmtId="0" fontId="5" fillId="0" borderId="31" xfId="0" applyFont="1" applyBorder="1" applyAlignment="1">
      <alignment horizontal="center" vertical="center" wrapText="1"/>
    </xf>
    <xf numFmtId="0" fontId="27" fillId="0" borderId="31" xfId="0" applyFont="1" applyBorder="1" applyAlignment="1">
      <alignment horizontal="center" vertical="center" wrapText="1"/>
    </xf>
    <xf numFmtId="3" fontId="5" fillId="0" borderId="31" xfId="0" applyNumberFormat="1" applyFont="1" applyBorder="1" applyAlignment="1">
      <alignment horizontal="right" vertical="center"/>
    </xf>
    <xf numFmtId="0" fontId="5" fillId="0" borderId="32" xfId="0" applyFont="1" applyBorder="1" applyAlignment="1">
      <alignment horizontal="right" vertical="center"/>
    </xf>
    <xf numFmtId="0" fontId="5" fillId="17" borderId="50" xfId="0" applyFont="1" applyFill="1" applyBorder="1" applyAlignment="1">
      <alignment horizontal="right" vertical="center"/>
    </xf>
    <xf numFmtId="3" fontId="5" fillId="19" borderId="49" xfId="0" applyNumberFormat="1" applyFont="1" applyFill="1" applyBorder="1" applyAlignment="1">
      <alignment horizontal="right" vertical="center"/>
    </xf>
    <xf numFmtId="0" fontId="5" fillId="19" borderId="50" xfId="0" applyFont="1" applyFill="1" applyBorder="1" applyAlignment="1">
      <alignment horizontal="right" vertical="center" wrapText="1"/>
    </xf>
    <xf numFmtId="0" fontId="5" fillId="19" borderId="24" xfId="0" applyFont="1" applyFill="1" applyBorder="1" applyAlignment="1">
      <alignment horizontal="center" vertical="center" wrapText="1"/>
    </xf>
    <xf numFmtId="0" fontId="27" fillId="19" borderId="24" xfId="0" applyFont="1" applyFill="1" applyBorder="1" applyAlignment="1">
      <alignment horizontal="center" vertical="center" wrapText="1"/>
    </xf>
    <xf numFmtId="3" fontId="5" fillId="19" borderId="24" xfId="0" applyNumberFormat="1" applyFont="1" applyFill="1" applyBorder="1" applyAlignment="1">
      <alignment vertical="center"/>
    </xf>
    <xf numFmtId="0" fontId="5" fillId="19" borderId="29" xfId="0" applyFont="1" applyFill="1" applyBorder="1" applyAlignment="1">
      <alignment horizontal="right" vertical="center"/>
    </xf>
    <xf numFmtId="0" fontId="6" fillId="14" borderId="54" xfId="0" applyFont="1" applyFill="1" applyBorder="1" applyAlignment="1">
      <alignment horizontal="center" wrapText="1"/>
    </xf>
    <xf numFmtId="0" fontId="5" fillId="19" borderId="28" xfId="0" applyFont="1" applyFill="1" applyBorder="1" applyAlignment="1">
      <alignment horizontal="center" vertical="center" wrapText="1"/>
    </xf>
    <xf numFmtId="0" fontId="29" fillId="0" borderId="56" xfId="0" applyFont="1" applyBorder="1" applyAlignment="1">
      <alignment horizontal="right" vertical="center"/>
    </xf>
    <xf numFmtId="0" fontId="5" fillId="25" borderId="26" xfId="0" applyFont="1" applyFill="1" applyBorder="1" applyAlignment="1">
      <alignment horizontal="center" vertical="center" wrapText="1"/>
    </xf>
    <xf numFmtId="0" fontId="29" fillId="0" borderId="30" xfId="0" applyFont="1" applyBorder="1" applyAlignment="1">
      <alignment horizontal="center" vertical="center" wrapText="1"/>
    </xf>
    <xf numFmtId="0" fontId="5" fillId="0" borderId="21" xfId="0" applyFont="1" applyBorder="1" applyAlignment="1">
      <alignment horizontal="center" vertical="center" wrapText="1"/>
    </xf>
    <xf numFmtId="0" fontId="5" fillId="25" borderId="16" xfId="0" applyFont="1" applyFill="1" applyBorder="1" applyAlignment="1">
      <alignment horizontal="center" vertical="center" wrapText="1"/>
    </xf>
    <xf numFmtId="0" fontId="29" fillId="0" borderId="21" xfId="0" applyFont="1" applyBorder="1" applyAlignment="1">
      <alignment horizontal="center" vertical="center"/>
    </xf>
    <xf numFmtId="0" fontId="29" fillId="0" borderId="30" xfId="0" applyFont="1" applyBorder="1" applyAlignment="1">
      <alignment horizontal="center" vertical="center"/>
    </xf>
    <xf numFmtId="0" fontId="5" fillId="22" borderId="26" xfId="0" applyFont="1" applyFill="1" applyBorder="1" applyAlignment="1">
      <alignment horizontal="center" vertical="center" wrapText="1"/>
    </xf>
    <xf numFmtId="0" fontId="29" fillId="0" borderId="48" xfId="0" applyFont="1" applyBorder="1" applyAlignment="1">
      <alignment horizontal="center" vertical="center"/>
    </xf>
    <xf numFmtId="0" fontId="10" fillId="0" borderId="19" xfId="0" applyFont="1" applyBorder="1" applyAlignment="1">
      <alignment horizontal="left" vertical="center" wrapText="1"/>
    </xf>
    <xf numFmtId="0" fontId="10" fillId="0" borderId="20" xfId="0" applyFont="1" applyBorder="1" applyAlignment="1">
      <alignment horizontal="left" vertical="center" wrapText="1"/>
    </xf>
    <xf numFmtId="0" fontId="10" fillId="0" borderId="27" xfId="0" applyFont="1" applyBorder="1" applyAlignment="1">
      <alignment horizontal="left" vertical="center" wrapText="1"/>
    </xf>
    <xf numFmtId="0" fontId="10" fillId="0" borderId="50" xfId="0" applyFont="1" applyBorder="1" applyAlignment="1">
      <alignment horizontal="left" vertical="center" wrapText="1"/>
    </xf>
    <xf numFmtId="0" fontId="10" fillId="0" borderId="22" xfId="0" applyFont="1" applyBorder="1" applyAlignment="1">
      <alignment horizontal="left" vertical="center" wrapText="1"/>
    </xf>
    <xf numFmtId="0" fontId="10" fillId="0" borderId="33" xfId="0" applyFont="1" applyBorder="1" applyAlignment="1">
      <alignment horizontal="left" vertical="center" wrapText="1"/>
    </xf>
    <xf numFmtId="0" fontId="36" fillId="0" borderId="19" xfId="0" applyFont="1" applyBorder="1" applyAlignment="1">
      <alignment horizontal="left" vertical="center" wrapText="1"/>
    </xf>
    <xf numFmtId="0" fontId="29" fillId="0" borderId="21" xfId="0" applyFont="1" applyBorder="1" applyAlignment="1">
      <alignment horizontal="center" vertical="center" wrapText="1"/>
    </xf>
    <xf numFmtId="0" fontId="5" fillId="22" borderId="16" xfId="0" applyFont="1" applyFill="1" applyBorder="1" applyAlignment="1">
      <alignment horizontal="center" vertical="center" wrapText="1"/>
    </xf>
    <xf numFmtId="0" fontId="29" fillId="24" borderId="30" xfId="0" applyFont="1" applyFill="1" applyBorder="1" applyAlignment="1">
      <alignment horizontal="center" vertical="center"/>
    </xf>
    <xf numFmtId="0" fontId="29" fillId="26" borderId="21" xfId="0" applyFont="1" applyFill="1" applyBorder="1" applyAlignment="1">
      <alignment horizontal="center" vertical="center"/>
    </xf>
    <xf numFmtId="0" fontId="5" fillId="24" borderId="49" xfId="0" applyFont="1" applyFill="1" applyBorder="1" applyAlignment="1">
      <alignment horizontal="center" vertical="center" wrapText="1"/>
    </xf>
    <xf numFmtId="3" fontId="5" fillId="19" borderId="26" xfId="0" applyNumberFormat="1" applyFont="1" applyFill="1" applyBorder="1" applyAlignment="1">
      <alignment horizontal="right" vertical="center"/>
    </xf>
    <xf numFmtId="0" fontId="10" fillId="0" borderId="55" xfId="0" applyFont="1" applyBorder="1" applyAlignment="1">
      <alignment horizontal="left" vertical="center" wrapText="1"/>
    </xf>
    <xf numFmtId="0" fontId="29" fillId="0" borderId="57" xfId="0" applyFont="1" applyBorder="1" applyAlignment="1">
      <alignment horizontal="center" vertical="center" wrapText="1"/>
    </xf>
    <xf numFmtId="0" fontId="10" fillId="0" borderId="50" xfId="0" applyFont="1" applyBorder="1" applyAlignment="1">
      <alignment vertical="center" wrapText="1"/>
    </xf>
    <xf numFmtId="0" fontId="10" fillId="24" borderId="19" xfId="0" applyFont="1" applyFill="1" applyBorder="1" applyAlignment="1">
      <alignment horizontal="left" vertical="center" wrapText="1"/>
    </xf>
    <xf numFmtId="3" fontId="10" fillId="0" borderId="22" xfId="0" applyNumberFormat="1" applyFont="1" applyBorder="1" applyAlignment="1">
      <alignment vertical="center" wrapText="1"/>
    </xf>
    <xf numFmtId="3" fontId="10" fillId="0" borderId="19" xfId="0" applyNumberFormat="1" applyFont="1" applyBorder="1" applyAlignment="1">
      <alignment vertical="center" wrapText="1"/>
    </xf>
    <xf numFmtId="3" fontId="10" fillId="0" borderId="27" xfId="0" applyNumberFormat="1" applyFont="1" applyBorder="1" applyAlignment="1">
      <alignment vertical="center" wrapText="1"/>
    </xf>
    <xf numFmtId="3" fontId="10" fillId="24" borderId="22" xfId="0" applyNumberFormat="1" applyFont="1" applyFill="1" applyBorder="1" applyAlignment="1">
      <alignment vertical="center" wrapText="1"/>
    </xf>
    <xf numFmtId="3" fontId="10" fillId="24" borderId="19" xfId="0" applyNumberFormat="1" applyFont="1" applyFill="1" applyBorder="1" applyAlignment="1">
      <alignment vertical="center" wrapText="1"/>
    </xf>
    <xf numFmtId="3" fontId="10" fillId="0" borderId="50" xfId="0" applyNumberFormat="1" applyFont="1" applyBorder="1" applyAlignment="1">
      <alignment horizontal="left" vertical="center"/>
    </xf>
    <xf numFmtId="0" fontId="36" fillId="0" borderId="50" xfId="0" applyFont="1" applyBorder="1" applyAlignment="1">
      <alignment horizontal="left" vertical="center" wrapText="1"/>
    </xf>
    <xf numFmtId="0" fontId="37" fillId="0" borderId="0" xfId="0" applyFont="1" applyAlignment="1">
      <alignment horizontal="left" wrapText="1"/>
    </xf>
    <xf numFmtId="0" fontId="10" fillId="0" borderId="22" xfId="0" applyFont="1" applyBorder="1" applyAlignment="1">
      <alignment vertical="center" wrapText="1"/>
    </xf>
    <xf numFmtId="0" fontId="36" fillId="0" borderId="27" xfId="0" applyFont="1" applyBorder="1" applyAlignment="1">
      <alignment vertical="center" wrapText="1"/>
    </xf>
    <xf numFmtId="3" fontId="5" fillId="0" borderId="16" xfId="0" applyNumberFormat="1" applyFont="1" applyBorder="1" applyAlignment="1">
      <alignment horizontal="center" vertical="center"/>
    </xf>
    <xf numFmtId="3" fontId="5" fillId="0" borderId="26" xfId="0" applyNumberFormat="1" applyFont="1" applyBorder="1" applyAlignment="1">
      <alignment horizontal="center" vertical="center"/>
    </xf>
    <xf numFmtId="0" fontId="10" fillId="0" borderId="27" xfId="0" applyFont="1" applyBorder="1" applyAlignment="1">
      <alignment vertical="center" wrapText="1"/>
    </xf>
    <xf numFmtId="3" fontId="5" fillId="20" borderId="26" xfId="0" applyNumberFormat="1" applyFont="1" applyFill="1" applyBorder="1" applyAlignment="1">
      <alignment horizontal="center" vertical="center"/>
    </xf>
    <xf numFmtId="0" fontId="10" fillId="0" borderId="32" xfId="0" applyFont="1" applyBorder="1" applyAlignment="1">
      <alignment horizontal="left" vertical="center" wrapText="1"/>
    </xf>
    <xf numFmtId="0" fontId="36" fillId="0" borderId="22" xfId="0" applyFont="1" applyBorder="1" applyAlignment="1">
      <alignment horizontal="left" vertical="center" wrapText="1"/>
    </xf>
    <xf numFmtId="0" fontId="38" fillId="0" borderId="0" xfId="0" applyFont="1" applyAlignment="1">
      <alignment wrapText="1"/>
    </xf>
    <xf numFmtId="0" fontId="29" fillId="0" borderId="21" xfId="0" applyFont="1" applyBorder="1" applyAlignment="1">
      <alignment horizontal="right" vertical="center"/>
    </xf>
    <xf numFmtId="0" fontId="36" fillId="0" borderId="27" xfId="0" applyFont="1" applyBorder="1" applyAlignment="1">
      <alignment horizontal="left" vertical="center" wrapText="1"/>
    </xf>
    <xf numFmtId="0" fontId="29" fillId="0" borderId="30" xfId="0" applyFont="1" applyBorder="1" applyAlignment="1">
      <alignment horizontal="right" vertical="center"/>
    </xf>
    <xf numFmtId="2" fontId="29" fillId="0" borderId="48" xfId="0" applyNumberFormat="1" applyFont="1" applyBorder="1" applyAlignment="1">
      <alignment horizontal="center" vertical="center" wrapText="1"/>
    </xf>
    <xf numFmtId="0" fontId="29" fillId="24" borderId="48" xfId="0" applyFont="1" applyFill="1" applyBorder="1" applyAlignment="1">
      <alignment horizontal="center" vertical="center"/>
    </xf>
    <xf numFmtId="0" fontId="10" fillId="0" borderId="48" xfId="0" applyFont="1" applyBorder="1" applyAlignment="1">
      <alignment vertical="center" wrapText="1"/>
    </xf>
    <xf numFmtId="0" fontId="2" fillId="0" borderId="42" xfId="0" applyFont="1" applyBorder="1" applyAlignment="1">
      <alignment wrapText="1"/>
    </xf>
    <xf numFmtId="44" fontId="2" fillId="0" borderId="11" xfId="3" applyFont="1" applyFill="1" applyBorder="1" applyAlignment="1">
      <alignment wrapText="1"/>
    </xf>
    <xf numFmtId="0" fontId="10" fillId="0" borderId="29" xfId="0" applyFont="1" applyBorder="1" applyAlignment="1">
      <alignment vertical="center" wrapText="1"/>
    </xf>
    <xf numFmtId="3" fontId="5" fillId="20" borderId="31" xfId="0" applyNumberFormat="1" applyFont="1" applyFill="1" applyBorder="1" applyAlignment="1">
      <alignment vertical="center"/>
    </xf>
    <xf numFmtId="0" fontId="5" fillId="20" borderId="32" xfId="0" applyFont="1" applyFill="1" applyBorder="1" applyAlignment="1">
      <alignment horizontal="right" vertical="center" wrapText="1"/>
    </xf>
    <xf numFmtId="0" fontId="5" fillId="20" borderId="17" xfId="0" applyFont="1" applyFill="1" applyBorder="1" applyAlignment="1">
      <alignment horizontal="center" vertical="center" wrapText="1"/>
    </xf>
    <xf numFmtId="0" fontId="27" fillId="20" borderId="17" xfId="0" applyFont="1" applyFill="1" applyBorder="1" applyAlignment="1">
      <alignment horizontal="center" vertical="center" wrapText="1"/>
    </xf>
    <xf numFmtId="3" fontId="5" fillId="20" borderId="17" xfId="0" applyNumberFormat="1" applyFont="1" applyFill="1" applyBorder="1" applyAlignment="1">
      <alignment vertical="center"/>
    </xf>
    <xf numFmtId="0" fontId="5" fillId="20" borderId="19" xfId="0" applyFont="1" applyFill="1" applyBorder="1" applyAlignment="1">
      <alignment horizontal="right" vertical="center" wrapText="1"/>
    </xf>
    <xf numFmtId="0" fontId="8" fillId="0" borderId="0" xfId="0" applyFont="1" applyAlignment="1">
      <alignment horizontal="center" vertical="center" textRotation="90" wrapText="1"/>
    </xf>
    <xf numFmtId="0" fontId="5" fillId="0" borderId="0" xfId="0" applyFont="1" applyAlignment="1">
      <alignment horizontal="center" vertical="center" wrapText="1"/>
    </xf>
    <xf numFmtId="0" fontId="27" fillId="0" borderId="0" xfId="0" applyFont="1" applyAlignment="1">
      <alignment horizontal="center" vertical="center" wrapText="1"/>
    </xf>
    <xf numFmtId="3" fontId="5" fillId="0" borderId="0" xfId="0" applyNumberFormat="1" applyFont="1" applyAlignment="1">
      <alignment horizontal="right" vertical="center"/>
    </xf>
    <xf numFmtId="0" fontId="5" fillId="0" borderId="0" xfId="0" applyFont="1" applyAlignment="1">
      <alignment horizontal="right" vertical="center" wrapText="1"/>
    </xf>
    <xf numFmtId="0" fontId="29" fillId="0" borderId="0" xfId="0" applyFont="1" applyAlignment="1">
      <alignment horizontal="center" vertical="center" wrapText="1"/>
    </xf>
    <xf numFmtId="0" fontId="10" fillId="0" borderId="0" xfId="0" applyFont="1" applyAlignment="1">
      <alignment horizontal="left" vertical="center" wrapText="1"/>
    </xf>
    <xf numFmtId="0" fontId="29" fillId="0" borderId="23" xfId="0" applyFont="1" applyBorder="1" applyAlignment="1">
      <alignment horizontal="center" vertical="center" wrapText="1"/>
    </xf>
    <xf numFmtId="0" fontId="10" fillId="0" borderId="29" xfId="0" applyFont="1" applyBorder="1" applyAlignment="1">
      <alignment horizontal="left" vertical="center" wrapText="1"/>
    </xf>
    <xf numFmtId="0" fontId="29" fillId="0" borderId="44" xfId="0" applyFont="1" applyBorder="1" applyAlignment="1">
      <alignment horizontal="center" vertical="center" wrapText="1"/>
    </xf>
    <xf numFmtId="0" fontId="40" fillId="18" borderId="25" xfId="0" applyFont="1" applyFill="1" applyBorder="1" applyAlignment="1">
      <alignment horizontal="left" vertical="center" wrapText="1"/>
    </xf>
    <xf numFmtId="0" fontId="40" fillId="0" borderId="47" xfId="0" applyFont="1" applyBorder="1" applyAlignment="1">
      <alignment horizontal="left" vertical="center" wrapText="1"/>
    </xf>
    <xf numFmtId="0" fontId="40" fillId="0" borderId="25" xfId="0" applyFont="1" applyBorder="1" applyAlignment="1">
      <alignment horizontal="left" vertical="center" wrapText="1"/>
    </xf>
    <xf numFmtId="0" fontId="40" fillId="18" borderId="47" xfId="0" applyFont="1" applyFill="1" applyBorder="1" applyAlignment="1">
      <alignment horizontal="left" vertical="center" wrapText="1"/>
    </xf>
    <xf numFmtId="0" fontId="40" fillId="0" borderId="0" xfId="0" applyFont="1" applyAlignment="1">
      <alignment horizontal="left" vertical="center" wrapText="1"/>
    </xf>
    <xf numFmtId="0" fontId="40" fillId="17" borderId="47" xfId="0" applyFont="1" applyFill="1" applyBorder="1" applyAlignment="1">
      <alignment horizontal="left" vertical="center" wrapText="1"/>
    </xf>
    <xf numFmtId="0" fontId="40" fillId="19" borderId="47" xfId="0" applyFont="1" applyFill="1" applyBorder="1" applyAlignment="1">
      <alignment horizontal="left" vertical="center" wrapText="1"/>
    </xf>
    <xf numFmtId="44" fontId="40" fillId="19" borderId="37" xfId="3" applyFont="1" applyFill="1" applyBorder="1" applyAlignment="1">
      <alignment horizontal="left" vertical="center" wrapText="1"/>
    </xf>
    <xf numFmtId="44" fontId="40" fillId="19" borderId="35" xfId="3" applyFont="1" applyFill="1" applyBorder="1" applyAlignment="1">
      <alignment horizontal="left" vertical="center" wrapText="1"/>
    </xf>
    <xf numFmtId="0" fontId="40" fillId="0" borderId="37" xfId="0" applyFont="1" applyBorder="1" applyAlignment="1">
      <alignment horizontal="left" vertical="center" wrapText="1"/>
    </xf>
    <xf numFmtId="0" fontId="39" fillId="0" borderId="0" xfId="0" applyFont="1" applyAlignment="1">
      <alignment horizontal="left" vertical="center" wrapText="1"/>
    </xf>
    <xf numFmtId="0" fontId="40" fillId="20" borderId="47" xfId="0" applyFont="1" applyFill="1" applyBorder="1" applyAlignment="1">
      <alignment horizontal="left" vertical="center" wrapText="1"/>
    </xf>
    <xf numFmtId="3" fontId="42" fillId="0" borderId="16" xfId="0" applyNumberFormat="1" applyFont="1" applyBorder="1" applyAlignment="1">
      <alignment horizontal="right" vertical="center"/>
    </xf>
    <xf numFmtId="0" fontId="43" fillId="0" borderId="0" xfId="0" applyFont="1"/>
    <xf numFmtId="0" fontId="10" fillId="0" borderId="42" xfId="0" applyFont="1" applyBorder="1" applyAlignment="1">
      <alignment horizontal="left" vertical="center" wrapText="1"/>
    </xf>
    <xf numFmtId="0" fontId="10" fillId="0" borderId="11" xfId="0" applyFont="1" applyBorder="1" applyAlignment="1">
      <alignment horizontal="left" vertical="center" wrapText="1"/>
    </xf>
    <xf numFmtId="0" fontId="29" fillId="0" borderId="13" xfId="0" applyFont="1" applyBorder="1" applyAlignment="1">
      <alignment horizontal="center" vertical="center"/>
    </xf>
    <xf numFmtId="3" fontId="10" fillId="0" borderId="20" xfId="0" applyNumberFormat="1" applyFont="1" applyBorder="1" applyAlignment="1">
      <alignment vertical="center" wrapText="1"/>
    </xf>
    <xf numFmtId="3" fontId="5" fillId="17" borderId="54" xfId="0" applyNumberFormat="1" applyFont="1" applyFill="1" applyBorder="1" applyAlignment="1">
      <alignment horizontal="right" vertical="center"/>
    </xf>
    <xf numFmtId="0" fontId="5" fillId="17" borderId="55" xfId="0" applyFont="1" applyFill="1" applyBorder="1" applyAlignment="1">
      <alignment horizontal="right" vertical="center" wrapText="1"/>
    </xf>
    <xf numFmtId="0" fontId="29" fillId="0" borderId="45" xfId="0" applyFont="1" applyBorder="1" applyAlignment="1">
      <alignment horizontal="center" vertical="center" wrapText="1"/>
    </xf>
    <xf numFmtId="0" fontId="29" fillId="0" borderId="43" xfId="0" applyFont="1" applyBorder="1" applyAlignment="1">
      <alignment horizontal="center" vertical="center" wrapText="1"/>
    </xf>
    <xf numFmtId="0" fontId="40" fillId="0" borderId="35" xfId="0" applyFont="1" applyBorder="1" applyAlignment="1">
      <alignment horizontal="left" vertical="center" wrapText="1"/>
    </xf>
    <xf numFmtId="0" fontId="29" fillId="0" borderId="59" xfId="0" applyFont="1" applyBorder="1" applyAlignment="1">
      <alignment horizontal="center" vertical="center" wrapText="1"/>
    </xf>
    <xf numFmtId="0" fontId="36" fillId="0" borderId="33" xfId="0" applyFont="1" applyBorder="1" applyAlignment="1">
      <alignment horizontal="left" vertical="center" wrapText="1"/>
    </xf>
    <xf numFmtId="0" fontId="29" fillId="29" borderId="44" xfId="0" applyFont="1" applyFill="1" applyBorder="1" applyAlignment="1">
      <alignment horizontal="center" vertical="center" wrapText="1"/>
    </xf>
    <xf numFmtId="0" fontId="45" fillId="0" borderId="21" xfId="0" applyFont="1" applyBorder="1" applyAlignment="1">
      <alignment vertical="center" wrapText="1"/>
    </xf>
    <xf numFmtId="0" fontId="44" fillId="0" borderId="16" xfId="0" applyFont="1" applyBorder="1" applyAlignment="1">
      <alignment horizontal="center" vertical="center" wrapText="1"/>
    </xf>
    <xf numFmtId="0" fontId="46" fillId="0" borderId="16" xfId="0" applyFont="1" applyBorder="1" applyAlignment="1">
      <alignment horizontal="center" vertical="center" wrapText="1"/>
    </xf>
    <xf numFmtId="0" fontId="42" fillId="29" borderId="14" xfId="0" applyFont="1" applyFill="1" applyBorder="1" applyAlignment="1">
      <alignment horizontal="center" vertical="center" wrapText="1"/>
    </xf>
    <xf numFmtId="0" fontId="29" fillId="29" borderId="48" xfId="0" applyFont="1" applyFill="1" applyBorder="1" applyAlignment="1">
      <alignment horizontal="center" vertical="center"/>
    </xf>
    <xf numFmtId="0" fontId="5" fillId="26" borderId="14" xfId="0" applyFont="1" applyFill="1" applyBorder="1" applyAlignment="1">
      <alignment horizontal="center" vertical="center" wrapText="1"/>
    </xf>
    <xf numFmtId="0" fontId="29" fillId="26" borderId="30" xfId="0" applyFont="1" applyFill="1" applyBorder="1" applyAlignment="1">
      <alignment horizontal="center" vertical="center"/>
    </xf>
    <xf numFmtId="0" fontId="29" fillId="26" borderId="48" xfId="0" applyFont="1" applyFill="1" applyBorder="1" applyAlignment="1">
      <alignment horizontal="center" vertical="center" wrapText="1"/>
    </xf>
    <xf numFmtId="0" fontId="29" fillId="26" borderId="44" xfId="0" applyFont="1" applyFill="1" applyBorder="1" applyAlignment="1">
      <alignment horizontal="center" vertical="center" wrapText="1"/>
    </xf>
    <xf numFmtId="0" fontId="29" fillId="29" borderId="21" xfId="0" applyFont="1" applyFill="1" applyBorder="1" applyAlignment="1">
      <alignment horizontal="center" vertical="center"/>
    </xf>
    <xf numFmtId="0" fontId="5" fillId="26" borderId="21" xfId="0" applyFont="1" applyFill="1" applyBorder="1" applyAlignment="1">
      <alignment horizontal="center" vertical="center" wrapText="1"/>
    </xf>
    <xf numFmtId="0" fontId="29" fillId="29" borderId="13" xfId="0" applyFont="1" applyFill="1" applyBorder="1" applyAlignment="1">
      <alignment horizontal="center" vertical="center"/>
    </xf>
    <xf numFmtId="0" fontId="10" fillId="0" borderId="60" xfId="0" applyFont="1" applyBorder="1" applyAlignment="1">
      <alignment horizontal="left" vertical="center" wrapText="1"/>
    </xf>
    <xf numFmtId="0" fontId="29" fillId="29" borderId="44" xfId="0" applyFont="1" applyFill="1" applyBorder="1" applyAlignment="1">
      <alignment horizontal="center" vertical="center"/>
    </xf>
    <xf numFmtId="0" fontId="29" fillId="0" borderId="59" xfId="0" applyFont="1" applyBorder="1" applyAlignment="1">
      <alignment horizontal="center" vertical="center"/>
    </xf>
    <xf numFmtId="0" fontId="40" fillId="0" borderId="39" xfId="0" applyFont="1" applyBorder="1" applyAlignment="1">
      <alignment horizontal="left" vertical="center" wrapText="1"/>
    </xf>
    <xf numFmtId="0" fontId="29" fillId="0" borderId="15" xfId="0" applyFont="1" applyBorder="1" applyAlignment="1">
      <alignment horizontal="center" vertical="center"/>
    </xf>
    <xf numFmtId="0" fontId="5" fillId="26" borderId="59" xfId="0" applyFont="1" applyFill="1" applyBorder="1" applyAlignment="1">
      <alignment horizontal="center" vertical="center"/>
    </xf>
    <xf numFmtId="3" fontId="27" fillId="18" borderId="26" xfId="0" applyNumberFormat="1" applyFont="1" applyFill="1" applyBorder="1" applyAlignment="1">
      <alignment horizontal="center" vertical="center" wrapText="1"/>
    </xf>
    <xf numFmtId="3" fontId="47" fillId="18" borderId="26" xfId="0" applyNumberFormat="1" applyFont="1" applyFill="1" applyBorder="1" applyAlignment="1">
      <alignment horizontal="center" vertical="center" wrapText="1"/>
    </xf>
    <xf numFmtId="3" fontId="47" fillId="0" borderId="16" xfId="0" applyNumberFormat="1" applyFont="1" applyBorder="1" applyAlignment="1">
      <alignment horizontal="center" vertical="center" wrapText="1"/>
    </xf>
    <xf numFmtId="3" fontId="47" fillId="0" borderId="17" xfId="0" applyNumberFormat="1" applyFont="1" applyBorder="1" applyAlignment="1">
      <alignment horizontal="center" vertical="center" wrapText="1"/>
    </xf>
    <xf numFmtId="0" fontId="5" fillId="26" borderId="62" xfId="0" applyFont="1" applyFill="1" applyBorder="1" applyAlignment="1">
      <alignment horizontal="center" vertical="center"/>
    </xf>
    <xf numFmtId="0" fontId="29" fillId="29" borderId="62" xfId="0" applyFont="1" applyFill="1" applyBorder="1" applyAlignment="1">
      <alignment horizontal="center" vertical="center"/>
    </xf>
    <xf numFmtId="0" fontId="5" fillId="26" borderId="44" xfId="0" applyFont="1" applyFill="1" applyBorder="1" applyAlignment="1">
      <alignment horizontal="center" vertical="center"/>
    </xf>
    <xf numFmtId="0" fontId="5" fillId="0" borderId="33" xfId="0" applyFont="1" applyBorder="1" applyAlignment="1">
      <alignment horizontal="right" vertical="center"/>
    </xf>
    <xf numFmtId="3" fontId="5" fillId="20" borderId="26" xfId="0" applyNumberFormat="1" applyFont="1" applyFill="1" applyBorder="1" applyAlignment="1">
      <alignment horizontal="right" vertical="center" wrapText="1"/>
    </xf>
    <xf numFmtId="0" fontId="12" fillId="20" borderId="14" xfId="0" applyFont="1" applyFill="1" applyBorder="1" applyAlignment="1">
      <alignment vertical="center" wrapText="1"/>
    </xf>
    <xf numFmtId="3" fontId="5" fillId="20" borderId="17" xfId="0" applyNumberFormat="1" applyFont="1" applyFill="1" applyBorder="1" applyAlignment="1">
      <alignment horizontal="right" vertical="center"/>
    </xf>
    <xf numFmtId="3" fontId="42" fillId="0" borderId="17" xfId="0" applyNumberFormat="1" applyFont="1" applyBorder="1" applyAlignment="1">
      <alignment horizontal="right" vertical="center"/>
    </xf>
    <xf numFmtId="0" fontId="27" fillId="0" borderId="49" xfId="0" applyFont="1" applyBorder="1" applyAlignment="1">
      <alignment horizontal="center" vertical="center" wrapText="1"/>
    </xf>
    <xf numFmtId="3" fontId="5" fillId="20" borderId="49" xfId="0" applyNumberFormat="1" applyFont="1" applyFill="1" applyBorder="1" applyAlignment="1">
      <alignment vertical="center" wrapText="1"/>
    </xf>
    <xf numFmtId="0" fontId="47" fillId="20" borderId="49" xfId="0" applyFont="1" applyFill="1" applyBorder="1" applyAlignment="1">
      <alignment horizontal="center" vertical="center" wrapText="1"/>
    </xf>
    <xf numFmtId="0" fontId="12" fillId="0" borderId="23" xfId="0" applyFont="1" applyBorder="1" applyAlignment="1">
      <alignment vertical="center" wrapText="1"/>
    </xf>
    <xf numFmtId="3" fontId="5" fillId="0" borderId="49" xfId="0" applyNumberFormat="1" applyFont="1" applyBorder="1" applyAlignment="1">
      <alignment horizontal="right" vertical="center"/>
    </xf>
    <xf numFmtId="3" fontId="44" fillId="0" borderId="17" xfId="0" applyNumberFormat="1" applyFont="1" applyBorder="1" applyAlignment="1">
      <alignment horizontal="right" vertical="center"/>
    </xf>
    <xf numFmtId="3" fontId="48" fillId="0" borderId="17" xfId="0" applyNumberFormat="1" applyFont="1" applyBorder="1" applyAlignment="1">
      <alignment horizontal="center" vertical="center" wrapText="1"/>
    </xf>
    <xf numFmtId="3" fontId="44" fillId="0" borderId="18" xfId="0" applyNumberFormat="1" applyFont="1" applyBorder="1" applyAlignment="1">
      <alignment vertical="center"/>
    </xf>
    <xf numFmtId="0" fontId="42" fillId="0" borderId="20" xfId="0" applyFont="1" applyBorder="1" applyAlignment="1">
      <alignment horizontal="right" vertical="center" wrapText="1"/>
    </xf>
    <xf numFmtId="3" fontId="44" fillId="0" borderId="17" xfId="0" applyNumberFormat="1" applyFont="1" applyBorder="1" applyAlignment="1">
      <alignment vertical="center"/>
    </xf>
    <xf numFmtId="3" fontId="44" fillId="0" borderId="18" xfId="0" applyNumberFormat="1" applyFont="1" applyBorder="1" applyAlignment="1">
      <alignment horizontal="right" vertical="center"/>
    </xf>
    <xf numFmtId="0" fontId="42" fillId="0" borderId="20" xfId="0" applyFont="1" applyBorder="1" applyAlignment="1">
      <alignment horizontal="right" vertical="center"/>
    </xf>
    <xf numFmtId="0" fontId="45" fillId="0" borderId="14" xfId="0" applyFont="1" applyBorder="1" applyAlignment="1">
      <alignment vertical="center" wrapText="1"/>
    </xf>
    <xf numFmtId="0" fontId="44" fillId="0" borderId="17" xfId="0" applyFont="1" applyBorder="1" applyAlignment="1">
      <alignment horizontal="center" vertical="center" wrapText="1"/>
    </xf>
    <xf numFmtId="0" fontId="46" fillId="0" borderId="17" xfId="0" applyFont="1" applyBorder="1" applyAlignment="1">
      <alignment horizontal="center" vertical="center" wrapText="1"/>
    </xf>
    <xf numFmtId="0" fontId="48" fillId="0" borderId="17" xfId="0" applyFont="1" applyBorder="1" applyAlignment="1">
      <alignment horizontal="center" vertical="center" wrapText="1"/>
    </xf>
    <xf numFmtId="0" fontId="45" fillId="0" borderId="15" xfId="0" applyFont="1" applyBorder="1" applyAlignment="1">
      <alignment vertical="center" wrapText="1"/>
    </xf>
    <xf numFmtId="0" fontId="44" fillId="0" borderId="18" xfId="0" applyFont="1" applyBorder="1" applyAlignment="1">
      <alignment horizontal="center" vertical="center" wrapText="1"/>
    </xf>
    <xf numFmtId="0" fontId="46" fillId="0" borderId="18" xfId="0" applyFont="1" applyBorder="1" applyAlignment="1">
      <alignment horizontal="center" vertical="center" wrapText="1"/>
    </xf>
    <xf numFmtId="0" fontId="44" fillId="0" borderId="19" xfId="0" applyFont="1" applyBorder="1" applyAlignment="1">
      <alignment horizontal="right" vertical="center"/>
    </xf>
    <xf numFmtId="3" fontId="44" fillId="0" borderId="28" xfId="0" applyNumberFormat="1" applyFont="1" applyBorder="1" applyAlignment="1">
      <alignment vertical="center"/>
    </xf>
    <xf numFmtId="3" fontId="47" fillId="19" borderId="18" xfId="0" applyNumberFormat="1" applyFont="1" applyFill="1" applyBorder="1" applyAlignment="1">
      <alignment horizontal="center" vertical="center" wrapText="1"/>
    </xf>
    <xf numFmtId="0" fontId="45" fillId="19" borderId="14" xfId="0" applyFont="1" applyFill="1" applyBorder="1" applyAlignment="1">
      <alignment vertical="center" wrapText="1"/>
    </xf>
    <xf numFmtId="0" fontId="45" fillId="19" borderId="15" xfId="0" applyFont="1" applyFill="1" applyBorder="1" applyAlignment="1">
      <alignment vertical="center" wrapText="1"/>
    </xf>
    <xf numFmtId="0" fontId="45" fillId="19" borderId="23" xfId="0" applyFont="1" applyFill="1" applyBorder="1" applyAlignment="1">
      <alignment vertical="center" wrapText="1"/>
    </xf>
    <xf numFmtId="0" fontId="36" fillId="0" borderId="14" xfId="0" applyFont="1" applyBorder="1" applyAlignment="1">
      <alignment vertical="center" wrapText="1"/>
    </xf>
    <xf numFmtId="0" fontId="10" fillId="0" borderId="14" xfId="0" applyFont="1" applyBorder="1" applyAlignment="1">
      <alignment vertical="center" wrapText="1"/>
    </xf>
    <xf numFmtId="0" fontId="45" fillId="19" borderId="48" xfId="0" applyFont="1" applyFill="1" applyBorder="1" applyAlignment="1">
      <alignment vertical="center" wrapText="1"/>
    </xf>
    <xf numFmtId="0" fontId="44" fillId="19" borderId="26" xfId="0" applyFont="1" applyFill="1" applyBorder="1" applyAlignment="1">
      <alignment horizontal="center" vertical="center" wrapText="1"/>
    </xf>
    <xf numFmtId="0" fontId="46" fillId="19" borderId="26" xfId="0" applyFont="1" applyFill="1" applyBorder="1" applyAlignment="1">
      <alignment horizontal="center" vertical="center" wrapText="1"/>
    </xf>
    <xf numFmtId="0" fontId="44" fillId="19" borderId="27" xfId="0" applyFont="1" applyFill="1" applyBorder="1" applyAlignment="1">
      <alignment horizontal="right" vertical="center"/>
    </xf>
    <xf numFmtId="3" fontId="44" fillId="0" borderId="16" xfId="0" applyNumberFormat="1" applyFont="1" applyBorder="1" applyAlignment="1">
      <alignment horizontal="right" vertical="center"/>
    </xf>
    <xf numFmtId="3" fontId="44" fillId="0" borderId="16" xfId="0" applyNumberFormat="1" applyFont="1" applyBorder="1" applyAlignment="1">
      <alignment vertical="center"/>
    </xf>
    <xf numFmtId="0" fontId="44" fillId="0" borderId="22" xfId="0" applyFont="1" applyBorder="1" applyAlignment="1">
      <alignment horizontal="right" vertical="center" wrapText="1"/>
    </xf>
    <xf numFmtId="0" fontId="45" fillId="0" borderId="13" xfId="0" applyFont="1" applyBorder="1" applyAlignment="1">
      <alignment vertical="center" wrapText="1"/>
    </xf>
    <xf numFmtId="0" fontId="44" fillId="0" borderId="28" xfId="0" applyFont="1" applyBorder="1" applyAlignment="1">
      <alignment horizontal="center" vertical="center" wrapText="1"/>
    </xf>
    <xf numFmtId="0" fontId="46" fillId="0" borderId="28" xfId="0" applyFont="1" applyBorder="1" applyAlignment="1">
      <alignment horizontal="center" vertical="center" wrapText="1"/>
    </xf>
    <xf numFmtId="0" fontId="44" fillId="0" borderId="33" xfId="0" applyFont="1" applyBorder="1" applyAlignment="1">
      <alignment horizontal="right" vertical="center" wrapText="1"/>
    </xf>
    <xf numFmtId="0" fontId="45" fillId="0" borderId="53" xfId="0" applyFont="1" applyBorder="1" applyAlignment="1">
      <alignment vertical="center" wrapText="1"/>
    </xf>
    <xf numFmtId="0" fontId="44" fillId="0" borderId="54" xfId="0" applyFont="1" applyBorder="1" applyAlignment="1">
      <alignment horizontal="center" vertical="center" wrapText="1"/>
    </xf>
    <xf numFmtId="0" fontId="46" fillId="0" borderId="54" xfId="0" applyFont="1" applyBorder="1" applyAlignment="1">
      <alignment horizontal="center" vertical="center" wrapText="1"/>
    </xf>
    <xf numFmtId="3" fontId="44" fillId="0" borderId="54" xfId="0" applyNumberFormat="1" applyFont="1" applyBorder="1" applyAlignment="1">
      <alignment vertical="center"/>
    </xf>
    <xf numFmtId="0" fontId="44" fillId="0" borderId="55" xfId="0" applyFont="1" applyBorder="1" applyAlignment="1">
      <alignment horizontal="right" vertical="center" wrapText="1"/>
    </xf>
    <xf numFmtId="0" fontId="45" fillId="19" borderId="53" xfId="0" applyFont="1" applyFill="1" applyBorder="1" applyAlignment="1">
      <alignment vertical="center" wrapText="1"/>
    </xf>
    <xf numFmtId="0" fontId="5" fillId="19" borderId="54" xfId="0" applyFont="1" applyFill="1" applyBorder="1" applyAlignment="1">
      <alignment horizontal="center" vertical="center" wrapText="1"/>
    </xf>
    <xf numFmtId="0" fontId="27" fillId="19" borderId="54" xfId="0" applyFont="1" applyFill="1" applyBorder="1" applyAlignment="1">
      <alignment horizontal="center" vertical="center" wrapText="1"/>
    </xf>
    <xf numFmtId="3" fontId="5" fillId="19" borderId="54" xfId="0" applyNumberFormat="1" applyFont="1" applyFill="1" applyBorder="1" applyAlignment="1">
      <alignment vertical="center"/>
    </xf>
    <xf numFmtId="0" fontId="5" fillId="19" borderId="55" xfId="0" applyFont="1" applyFill="1" applyBorder="1" applyAlignment="1">
      <alignment horizontal="right" vertical="center"/>
    </xf>
    <xf numFmtId="0" fontId="45" fillId="0" borderId="30" xfId="0" applyFont="1" applyBorder="1" applyAlignment="1">
      <alignment vertical="center" wrapText="1"/>
    </xf>
    <xf numFmtId="0" fontId="46" fillId="0" borderId="26" xfId="0" applyFont="1" applyBorder="1" applyAlignment="1">
      <alignment horizontal="center" vertical="center" wrapText="1"/>
    </xf>
    <xf numFmtId="3" fontId="44" fillId="0" borderId="26" xfId="0" applyNumberFormat="1" applyFont="1" applyBorder="1" applyAlignment="1">
      <alignment horizontal="right" vertical="center"/>
    </xf>
    <xf numFmtId="0" fontId="45" fillId="19" borderId="52" xfId="0" applyFont="1" applyFill="1" applyBorder="1" applyAlignment="1">
      <alignment vertical="center" wrapText="1"/>
    </xf>
    <xf numFmtId="0" fontId="44" fillId="19" borderId="31" xfId="0" applyFont="1" applyFill="1" applyBorder="1" applyAlignment="1">
      <alignment horizontal="center" vertical="center" wrapText="1"/>
    </xf>
    <xf numFmtId="0" fontId="46" fillId="19" borderId="31" xfId="0" applyFont="1" applyFill="1" applyBorder="1" applyAlignment="1">
      <alignment horizontal="center" vertical="center" wrapText="1"/>
    </xf>
    <xf numFmtId="0" fontId="44" fillId="19" borderId="17" xfId="0" applyFont="1" applyFill="1" applyBorder="1" applyAlignment="1">
      <alignment horizontal="center" vertical="center" wrapText="1"/>
    </xf>
    <xf numFmtId="0" fontId="46" fillId="19" borderId="17" xfId="0" applyFont="1" applyFill="1" applyBorder="1" applyAlignment="1">
      <alignment horizontal="center" vertical="center" wrapText="1"/>
    </xf>
    <xf numFmtId="0" fontId="44" fillId="19" borderId="18" xfId="0" applyFont="1" applyFill="1" applyBorder="1" applyAlignment="1">
      <alignment horizontal="center" vertical="center" wrapText="1"/>
    </xf>
    <xf numFmtId="0" fontId="46" fillId="19" borderId="18" xfId="0" applyFont="1" applyFill="1" applyBorder="1" applyAlignment="1">
      <alignment horizontal="center" vertical="center" wrapText="1"/>
    </xf>
    <xf numFmtId="0" fontId="36" fillId="19" borderId="30" xfId="0" applyFont="1" applyFill="1" applyBorder="1" applyAlignment="1">
      <alignment vertical="center" wrapText="1"/>
    </xf>
    <xf numFmtId="3" fontId="5" fillId="0" borderId="18" xfId="0" applyNumberFormat="1" applyFont="1" applyBorder="1" applyAlignment="1">
      <alignment vertical="center"/>
    </xf>
    <xf numFmtId="0" fontId="45" fillId="19" borderId="21" xfId="0" applyFont="1" applyFill="1" applyBorder="1" applyAlignment="1">
      <alignment vertical="center" wrapText="1"/>
    </xf>
    <xf numFmtId="0" fontId="44" fillId="19" borderId="16" xfId="0" applyFont="1" applyFill="1" applyBorder="1" applyAlignment="1">
      <alignment horizontal="center" vertical="center" wrapText="1"/>
    </xf>
    <xf numFmtId="0" fontId="46" fillId="19" borderId="16" xfId="0" applyFont="1" applyFill="1" applyBorder="1" applyAlignment="1">
      <alignment horizontal="center" vertical="center" wrapText="1"/>
    </xf>
    <xf numFmtId="3" fontId="44" fillId="19" borderId="16" xfId="0" applyNumberFormat="1" applyFont="1" applyFill="1" applyBorder="1" applyAlignment="1">
      <alignment vertical="center"/>
    </xf>
    <xf numFmtId="3" fontId="44" fillId="19" borderId="16" xfId="0" applyNumberFormat="1" applyFont="1" applyFill="1" applyBorder="1" applyAlignment="1">
      <alignment horizontal="right" vertical="center"/>
    </xf>
    <xf numFmtId="0" fontId="44" fillId="19" borderId="22" xfId="0" applyFont="1" applyFill="1" applyBorder="1" applyAlignment="1">
      <alignment horizontal="right" vertical="center"/>
    </xf>
    <xf numFmtId="3" fontId="44" fillId="19" borderId="18" xfId="0" applyNumberFormat="1" applyFont="1" applyFill="1" applyBorder="1" applyAlignment="1">
      <alignment vertical="center"/>
    </xf>
    <xf numFmtId="3" fontId="44" fillId="19" borderId="18" xfId="0" applyNumberFormat="1" applyFont="1" applyFill="1" applyBorder="1" applyAlignment="1">
      <alignment horizontal="right" vertical="center"/>
    </xf>
    <xf numFmtId="0" fontId="44" fillId="19" borderId="20" xfId="0" applyFont="1" applyFill="1" applyBorder="1" applyAlignment="1">
      <alignment horizontal="right" vertical="center"/>
    </xf>
    <xf numFmtId="3" fontId="44" fillId="19" borderId="26" xfId="0" applyNumberFormat="1" applyFont="1" applyFill="1" applyBorder="1" applyAlignment="1">
      <alignment vertical="center"/>
    </xf>
    <xf numFmtId="3" fontId="5" fillId="0" borderId="16" xfId="0" applyNumberFormat="1" applyFont="1" applyBorder="1" applyAlignment="1">
      <alignment horizontal="center" vertical="center" wrapText="1"/>
    </xf>
    <xf numFmtId="0" fontId="27" fillId="0" borderId="24" xfId="0" applyFont="1" applyBorder="1" applyAlignment="1">
      <alignment horizontal="center" vertical="center" wrapText="1"/>
    </xf>
    <xf numFmtId="3" fontId="5" fillId="0" borderId="24" xfId="0" applyNumberFormat="1" applyFont="1" applyBorder="1" applyAlignment="1">
      <alignment horizontal="right" vertical="center"/>
    </xf>
    <xf numFmtId="0" fontId="5" fillId="0" borderId="29" xfId="0" applyFont="1" applyBorder="1" applyAlignment="1">
      <alignment horizontal="right" vertical="center" wrapText="1"/>
    </xf>
    <xf numFmtId="0" fontId="10" fillId="0" borderId="30" xfId="0" applyFont="1" applyBorder="1" applyAlignment="1">
      <alignment vertical="center" wrapText="1"/>
    </xf>
    <xf numFmtId="0" fontId="12" fillId="21" borderId="21" xfId="0" applyFont="1" applyFill="1" applyBorder="1" applyAlignment="1">
      <alignment vertical="center" wrapText="1"/>
    </xf>
    <xf numFmtId="0" fontId="5" fillId="21" borderId="16" xfId="0" applyFont="1" applyFill="1" applyBorder="1" applyAlignment="1">
      <alignment horizontal="center" vertical="center" wrapText="1"/>
    </xf>
    <xf numFmtId="0" fontId="27" fillId="21" borderId="16" xfId="0" applyFont="1" applyFill="1" applyBorder="1" applyAlignment="1">
      <alignment horizontal="center" vertical="center" wrapText="1"/>
    </xf>
    <xf numFmtId="3" fontId="5" fillId="21" borderId="16" xfId="0" applyNumberFormat="1" applyFont="1" applyFill="1" applyBorder="1" applyAlignment="1">
      <alignment horizontal="right" vertical="center"/>
    </xf>
    <xf numFmtId="0" fontId="5" fillId="21" borderId="22" xfId="0" applyFont="1" applyFill="1" applyBorder="1" applyAlignment="1">
      <alignment horizontal="right" vertical="center" wrapText="1"/>
    </xf>
    <xf numFmtId="0" fontId="45" fillId="19" borderId="30" xfId="0" applyFont="1" applyFill="1" applyBorder="1" applyAlignment="1">
      <alignment vertical="center" wrapText="1"/>
    </xf>
    <xf numFmtId="0" fontId="50" fillId="0" borderId="0" xfId="0" applyFont="1"/>
    <xf numFmtId="0" fontId="51" fillId="0" borderId="0" xfId="0" applyFont="1"/>
    <xf numFmtId="0" fontId="52" fillId="0" borderId="63" xfId="0" applyFont="1" applyBorder="1" applyAlignment="1">
      <alignment horizontal="left" vertical="center" wrapText="1"/>
    </xf>
    <xf numFmtId="0" fontId="53" fillId="0" borderId="63" xfId="24" applyFont="1" applyBorder="1"/>
    <xf numFmtId="0" fontId="52" fillId="0" borderId="64" xfId="0" applyFont="1" applyBorder="1" applyAlignment="1">
      <alignment horizontal="left" vertical="center" wrapText="1"/>
    </xf>
    <xf numFmtId="0" fontId="53" fillId="0" borderId="64" xfId="24" applyFont="1" applyBorder="1"/>
    <xf numFmtId="0" fontId="51" fillId="0" borderId="64" xfId="0" applyFont="1" applyBorder="1"/>
    <xf numFmtId="0" fontId="49" fillId="0" borderId="0" xfId="24" applyBorder="1"/>
    <xf numFmtId="0" fontId="5" fillId="30" borderId="16" xfId="0" applyFont="1" applyFill="1" applyBorder="1" applyAlignment="1">
      <alignment horizontal="center" vertical="center" wrapText="1"/>
    </xf>
    <xf numFmtId="0" fontId="5" fillId="19" borderId="31" xfId="0" applyFont="1" applyFill="1" applyBorder="1" applyAlignment="1">
      <alignment horizontal="center" vertical="center" wrapText="1"/>
    </xf>
    <xf numFmtId="0" fontId="5" fillId="30" borderId="17" xfId="0" applyFont="1" applyFill="1" applyBorder="1" applyAlignment="1">
      <alignment horizontal="center" vertical="center" wrapText="1"/>
    </xf>
    <xf numFmtId="0" fontId="5" fillId="30" borderId="49" xfId="0" applyFont="1" applyFill="1" applyBorder="1" applyAlignment="1">
      <alignment horizontal="center" vertical="center" wrapText="1"/>
    </xf>
    <xf numFmtId="0" fontId="10" fillId="0" borderId="65" xfId="0" applyFont="1" applyBorder="1" applyAlignment="1">
      <alignment horizontal="left" vertical="center" wrapText="1"/>
    </xf>
    <xf numFmtId="0" fontId="10" fillId="0" borderId="10" xfId="0" applyFont="1" applyBorder="1" applyAlignment="1">
      <alignment horizontal="left" vertical="center" wrapText="1"/>
    </xf>
    <xf numFmtId="0" fontId="36" fillId="0" borderId="20" xfId="0" applyFont="1" applyBorder="1" applyAlignment="1">
      <alignment horizontal="left" vertical="center" wrapText="1"/>
    </xf>
    <xf numFmtId="0" fontId="5" fillId="25" borderId="18" xfId="0" applyFont="1" applyFill="1" applyBorder="1" applyAlignment="1">
      <alignment horizontal="center" vertical="center" wrapText="1"/>
    </xf>
    <xf numFmtId="0" fontId="5" fillId="25" borderId="49" xfId="0" applyFont="1" applyFill="1" applyBorder="1" applyAlignment="1">
      <alignment horizontal="center" vertical="center" wrapText="1"/>
    </xf>
    <xf numFmtId="0" fontId="10" fillId="25" borderId="19" xfId="0" applyFont="1" applyFill="1" applyBorder="1" applyAlignment="1">
      <alignment horizontal="left" vertical="center" wrapText="1"/>
    </xf>
    <xf numFmtId="0" fontId="36" fillId="25" borderId="19" xfId="0" applyFont="1" applyFill="1" applyBorder="1" applyAlignment="1">
      <alignment horizontal="left" vertical="center" wrapText="1"/>
    </xf>
    <xf numFmtId="0" fontId="5" fillId="0" borderId="32" xfId="0" applyFont="1" applyBorder="1" applyAlignment="1">
      <alignment horizontal="right" vertical="center" wrapText="1"/>
    </xf>
    <xf numFmtId="0" fontId="12" fillId="0" borderId="52" xfId="0" applyFont="1" applyBorder="1" applyAlignment="1">
      <alignment horizontal="left" vertical="center" wrapText="1"/>
    </xf>
    <xf numFmtId="3" fontId="5" fillId="0" borderId="31" xfId="0" applyNumberFormat="1" applyFont="1" applyBorder="1" applyAlignment="1">
      <alignment horizontal="center" vertical="center"/>
    </xf>
    <xf numFmtId="3" fontId="5" fillId="19" borderId="26" xfId="0" applyNumberFormat="1" applyFont="1" applyFill="1" applyBorder="1" applyAlignment="1">
      <alignment horizontal="center" vertical="center" wrapText="1"/>
    </xf>
    <xf numFmtId="0" fontId="5" fillId="31" borderId="16" xfId="0" applyFont="1" applyFill="1" applyBorder="1" applyAlignment="1">
      <alignment horizontal="center" vertical="center" wrapText="1"/>
    </xf>
    <xf numFmtId="0" fontId="5" fillId="32" borderId="17" xfId="0" applyFont="1" applyFill="1" applyBorder="1" applyAlignment="1">
      <alignment horizontal="center" vertical="center" wrapText="1"/>
    </xf>
    <xf numFmtId="0" fontId="29" fillId="0" borderId="66" xfId="0" applyFont="1" applyBorder="1" applyAlignment="1">
      <alignment horizontal="right" vertical="center" wrapText="1"/>
    </xf>
    <xf numFmtId="0" fontId="12" fillId="17" borderId="48" xfId="0" applyFont="1" applyFill="1" applyBorder="1" applyAlignment="1">
      <alignment vertical="center" wrapText="1"/>
    </xf>
    <xf numFmtId="0" fontId="5" fillId="17" borderId="49" xfId="0" applyFont="1" applyFill="1" applyBorder="1" applyAlignment="1">
      <alignment horizontal="center" vertical="center" wrapText="1"/>
    </xf>
    <xf numFmtId="0" fontId="27" fillId="17" borderId="49" xfId="0" applyFont="1" applyFill="1" applyBorder="1" applyAlignment="1">
      <alignment horizontal="center" vertical="center" wrapText="1"/>
    </xf>
    <xf numFmtId="3" fontId="5" fillId="17" borderId="49" xfId="0" applyNumberFormat="1" applyFont="1" applyFill="1" applyBorder="1" applyAlignment="1">
      <alignment horizontal="right" vertical="center"/>
    </xf>
    <xf numFmtId="3" fontId="10" fillId="0" borderId="50" xfId="0" applyNumberFormat="1" applyFont="1" applyBorder="1" applyAlignment="1">
      <alignment vertical="center" wrapText="1"/>
    </xf>
    <xf numFmtId="0" fontId="3" fillId="13" borderId="39" xfId="0" applyFont="1" applyFill="1" applyBorder="1" applyAlignment="1">
      <alignment horizontal="center" vertical="center" textRotation="90" wrapText="1"/>
    </xf>
    <xf numFmtId="3" fontId="3" fillId="16" borderId="54" xfId="0" applyNumberFormat="1" applyFont="1" applyFill="1" applyBorder="1" applyAlignment="1">
      <alignment horizontal="center" wrapText="1"/>
    </xf>
    <xf numFmtId="0" fontId="39" fillId="16" borderId="53" xfId="0" applyFont="1" applyFill="1" applyBorder="1" applyAlignment="1">
      <alignment horizontal="center" vertical="center" wrapText="1"/>
    </xf>
    <xf numFmtId="0" fontId="3" fillId="16" borderId="54" xfId="0" applyFont="1" applyFill="1" applyBorder="1" applyAlignment="1">
      <alignment horizontal="center" vertical="center" wrapText="1"/>
    </xf>
    <xf numFmtId="3" fontId="3" fillId="16" borderId="55" xfId="0" applyNumberFormat="1" applyFont="1" applyFill="1" applyBorder="1" applyAlignment="1">
      <alignment horizontal="center" wrapText="1"/>
    </xf>
    <xf numFmtId="0" fontId="3" fillId="16" borderId="39" xfId="0" applyFont="1" applyFill="1" applyBorder="1" applyAlignment="1">
      <alignment horizontal="center" vertical="center" textRotation="90" wrapText="1"/>
    </xf>
    <xf numFmtId="0" fontId="4" fillId="28" borderId="55" xfId="0" applyFont="1" applyFill="1" applyBorder="1" applyAlignment="1">
      <alignment horizontal="center" wrapText="1"/>
    </xf>
    <xf numFmtId="0" fontId="4" fillId="14" borderId="54" xfId="0" applyFont="1" applyFill="1" applyBorder="1" applyAlignment="1">
      <alignment horizontal="center" vertical="center" wrapText="1"/>
    </xf>
    <xf numFmtId="0" fontId="41" fillId="14" borderId="53" xfId="0" applyFont="1" applyFill="1" applyBorder="1" applyAlignment="1">
      <alignment horizontal="center" vertical="center" wrapText="1"/>
    </xf>
    <xf numFmtId="3" fontId="3" fillId="14" borderId="54" xfId="0" applyNumberFormat="1" applyFont="1" applyFill="1" applyBorder="1" applyAlignment="1">
      <alignment horizontal="center" wrapText="1"/>
    </xf>
    <xf numFmtId="0" fontId="3" fillId="14" borderId="39" xfId="0" applyFont="1" applyFill="1" applyBorder="1" applyAlignment="1">
      <alignment horizontal="center" vertical="center" textRotation="90" wrapText="1"/>
    </xf>
    <xf numFmtId="0" fontId="3" fillId="15" borderId="39" xfId="0" applyFont="1" applyFill="1" applyBorder="1" applyAlignment="1">
      <alignment horizontal="center" vertical="center" textRotation="90" wrapText="1"/>
    </xf>
    <xf numFmtId="0" fontId="41" fillId="15" borderId="39" xfId="0" applyFont="1" applyFill="1" applyBorder="1" applyAlignment="1">
      <alignment horizontal="center" vertical="center" wrapText="1"/>
    </xf>
    <xf numFmtId="0" fontId="10" fillId="0" borderId="67" xfId="0" applyFont="1" applyBorder="1" applyAlignment="1">
      <alignment horizontal="left" vertical="center" wrapText="1"/>
    </xf>
    <xf numFmtId="0" fontId="10" fillId="0" borderId="68" xfId="0" applyFont="1" applyBorder="1" applyAlignment="1">
      <alignment horizontal="left" vertical="center" wrapText="1"/>
    </xf>
    <xf numFmtId="0" fontId="29" fillId="24" borderId="21" xfId="0" applyFont="1" applyFill="1" applyBorder="1" applyAlignment="1">
      <alignment horizontal="center" vertical="center"/>
    </xf>
    <xf numFmtId="0" fontId="29" fillId="26" borderId="48" xfId="0" applyFont="1" applyFill="1" applyBorder="1" applyAlignment="1">
      <alignment horizontal="center" vertical="center"/>
    </xf>
    <xf numFmtId="0" fontId="32" fillId="0" borderId="61" xfId="0" applyFont="1" applyBorder="1" applyAlignment="1">
      <alignment horizontal="center" wrapText="1"/>
    </xf>
    <xf numFmtId="0" fontId="3" fillId="15" borderId="29" xfId="0" applyFont="1" applyFill="1" applyBorder="1" applyAlignment="1">
      <alignment horizontal="center" vertical="center" wrapText="1"/>
    </xf>
    <xf numFmtId="0" fontId="4" fillId="14" borderId="20" xfId="0" applyFont="1" applyFill="1" applyBorder="1" applyAlignment="1">
      <alignment horizontal="center" vertical="center" wrapText="1"/>
    </xf>
    <xf numFmtId="0" fontId="10" fillId="18" borderId="13" xfId="0" applyFont="1" applyFill="1" applyBorder="1" applyAlignment="1">
      <alignment vertical="center" wrapText="1"/>
    </xf>
    <xf numFmtId="0" fontId="5" fillId="18" borderId="28" xfId="0" applyFont="1" applyFill="1" applyBorder="1" applyAlignment="1">
      <alignment horizontal="center" vertical="center" wrapText="1"/>
    </xf>
    <xf numFmtId="3" fontId="27" fillId="18" borderId="28" xfId="0" applyNumberFormat="1" applyFont="1" applyFill="1" applyBorder="1" applyAlignment="1">
      <alignment horizontal="center" vertical="center" wrapText="1"/>
    </xf>
    <xf numFmtId="3" fontId="5" fillId="18" borderId="28" xfId="0" applyNumberFormat="1" applyFont="1" applyFill="1" applyBorder="1" applyAlignment="1">
      <alignment vertical="center"/>
    </xf>
    <xf numFmtId="3" fontId="47" fillId="18" borderId="28" xfId="0" applyNumberFormat="1" applyFont="1" applyFill="1" applyBorder="1" applyAlignment="1">
      <alignment horizontal="center" vertical="center" wrapText="1"/>
    </xf>
    <xf numFmtId="0" fontId="5" fillId="18" borderId="33" xfId="0" applyFont="1" applyFill="1" applyBorder="1" applyAlignment="1">
      <alignment horizontal="right" vertical="center"/>
    </xf>
    <xf numFmtId="0" fontId="5" fillId="26" borderId="69" xfId="0" applyFont="1" applyFill="1" applyBorder="1" applyAlignment="1">
      <alignment horizontal="center" vertical="center"/>
    </xf>
    <xf numFmtId="0" fontId="5" fillId="22" borderId="28" xfId="0" applyFont="1" applyFill="1" applyBorder="1" applyAlignment="1">
      <alignment horizontal="center" vertical="center" wrapText="1"/>
    </xf>
    <xf numFmtId="0" fontId="39" fillId="13" borderId="36" xfId="0" applyFont="1" applyFill="1" applyBorder="1" applyAlignment="1">
      <alignment horizontal="center" vertical="center" wrapText="1"/>
    </xf>
    <xf numFmtId="0" fontId="39" fillId="13" borderId="53" xfId="0" applyFont="1" applyFill="1" applyBorder="1" applyAlignment="1">
      <alignment horizontal="center" vertical="center" wrapText="1"/>
    </xf>
    <xf numFmtId="0" fontId="6" fillId="13" borderId="54" xfId="0" applyFont="1" applyFill="1" applyBorder="1" applyAlignment="1">
      <alignment horizontal="center" wrapText="1"/>
    </xf>
    <xf numFmtId="0" fontId="3" fillId="13" borderId="54" xfId="0" applyFont="1" applyFill="1" applyBorder="1" applyAlignment="1">
      <alignment horizontal="center" vertical="center" wrapText="1"/>
    </xf>
    <xf numFmtId="3" fontId="3" fillId="13" borderId="54" xfId="0" applyNumberFormat="1" applyFont="1" applyFill="1" applyBorder="1" applyAlignment="1">
      <alignment horizontal="center" wrapText="1"/>
    </xf>
    <xf numFmtId="3" fontId="3" fillId="13" borderId="55" xfId="0" applyNumberFormat="1" applyFont="1" applyFill="1" applyBorder="1" applyAlignment="1">
      <alignment horizontal="center" wrapText="1"/>
    </xf>
    <xf numFmtId="0" fontId="3" fillId="13" borderId="61"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41" fillId="15" borderId="36" xfId="0" applyFont="1" applyFill="1" applyBorder="1" applyAlignment="1">
      <alignment horizontal="center" vertical="center" wrapText="1"/>
    </xf>
    <xf numFmtId="0" fontId="6" fillId="15" borderId="61" xfId="0" applyFont="1" applyFill="1" applyBorder="1" applyAlignment="1">
      <alignment horizontal="center" wrapText="1"/>
    </xf>
    <xf numFmtId="0" fontId="4" fillId="15" borderId="61" xfId="0" applyFont="1" applyFill="1" applyBorder="1" applyAlignment="1">
      <alignment horizontal="center" vertical="center" wrapText="1"/>
    </xf>
    <xf numFmtId="3" fontId="3" fillId="15" borderId="61" xfId="0" applyNumberFormat="1" applyFont="1" applyFill="1" applyBorder="1" applyAlignment="1">
      <alignment horizontal="center" wrapText="1"/>
    </xf>
    <xf numFmtId="3" fontId="3" fillId="15" borderId="12" xfId="0" applyNumberFormat="1" applyFont="1" applyFill="1" applyBorder="1" applyAlignment="1">
      <alignment horizontal="center" wrapText="1"/>
    </xf>
    <xf numFmtId="0" fontId="3" fillId="15" borderId="54" xfId="0" applyFont="1" applyFill="1" applyBorder="1" applyAlignment="1">
      <alignment horizontal="center" vertical="center" wrapText="1"/>
    </xf>
    <xf numFmtId="0" fontId="3" fillId="15" borderId="55" xfId="0" applyFont="1" applyFill="1" applyBorder="1" applyAlignment="1">
      <alignment horizontal="center" vertical="center" wrapText="1"/>
    </xf>
    <xf numFmtId="0" fontId="32" fillId="0" borderId="52" xfId="0" applyFont="1" applyBorder="1" applyAlignment="1">
      <alignment horizontal="center" wrapText="1"/>
    </xf>
    <xf numFmtId="0" fontId="32" fillId="0" borderId="23" xfId="0" applyFont="1" applyBorder="1" applyAlignment="1">
      <alignment horizontal="center" wrapText="1"/>
    </xf>
    <xf numFmtId="0" fontId="41" fillId="14" borderId="36" xfId="0" applyFont="1" applyFill="1" applyBorder="1" applyAlignment="1">
      <alignment horizontal="center" vertical="center" wrapText="1"/>
    </xf>
    <xf numFmtId="0" fontId="32" fillId="0" borderId="53" xfId="0" applyFont="1" applyBorder="1" applyAlignment="1">
      <alignment horizontal="center" wrapText="1"/>
    </xf>
    <xf numFmtId="0" fontId="4" fillId="14" borderId="55" xfId="0" applyFont="1" applyFill="1" applyBorder="1" applyAlignment="1">
      <alignment horizontal="center" vertical="center" wrapText="1"/>
    </xf>
    <xf numFmtId="0" fontId="39" fillId="16" borderId="36" xfId="0" applyFont="1" applyFill="1" applyBorder="1" applyAlignment="1">
      <alignment horizontal="center" vertical="center" wrapText="1"/>
    </xf>
    <xf numFmtId="0" fontId="32" fillId="0" borderId="69" xfId="0" applyFont="1" applyBorder="1" applyAlignment="1">
      <alignment horizontal="center" wrapText="1"/>
    </xf>
    <xf numFmtId="3" fontId="3" fillId="16" borderId="54" xfId="0" applyNumberFormat="1" applyFont="1" applyFill="1" applyBorder="1" applyAlignment="1">
      <alignment horizontal="center" vertical="center" wrapText="1"/>
    </xf>
    <xf numFmtId="3" fontId="3" fillId="16" borderId="55" xfId="0" applyNumberFormat="1" applyFont="1" applyFill="1" applyBorder="1" applyAlignment="1">
      <alignment horizontal="center" vertical="center" wrapText="1"/>
    </xf>
    <xf numFmtId="0" fontId="12" fillId="18" borderId="48" xfId="0" applyFont="1" applyFill="1" applyBorder="1" applyAlignment="1">
      <alignment vertical="center" wrapText="1"/>
    </xf>
    <xf numFmtId="0" fontId="5" fillId="18" borderId="49" xfId="0" applyFont="1" applyFill="1" applyBorder="1" applyAlignment="1">
      <alignment horizontal="center" vertical="center" wrapText="1"/>
    </xf>
    <xf numFmtId="3" fontId="5" fillId="18" borderId="49" xfId="0" applyNumberFormat="1" applyFont="1" applyFill="1" applyBorder="1" applyAlignment="1">
      <alignment vertical="center"/>
    </xf>
    <xf numFmtId="0" fontId="5" fillId="18" borderId="50" xfId="0" applyFont="1" applyFill="1" applyBorder="1" applyAlignment="1">
      <alignment horizontal="right" vertical="center"/>
    </xf>
    <xf numFmtId="0" fontId="5" fillId="26" borderId="0" xfId="0" applyFont="1" applyFill="1" applyAlignment="1">
      <alignment horizontal="center" vertical="center"/>
    </xf>
    <xf numFmtId="0" fontId="5" fillId="31" borderId="26" xfId="0" applyFont="1" applyFill="1" applyBorder="1" applyAlignment="1">
      <alignment horizontal="center" vertical="center" wrapText="1"/>
    </xf>
    <xf numFmtId="0" fontId="29" fillId="0" borderId="62" xfId="0" applyFont="1" applyBorder="1" applyAlignment="1">
      <alignment horizontal="center" vertical="center" wrapText="1"/>
    </xf>
    <xf numFmtId="0" fontId="29" fillId="29" borderId="59" xfId="0" applyFont="1" applyFill="1" applyBorder="1" applyAlignment="1">
      <alignment horizontal="center" vertical="center" wrapText="1"/>
    </xf>
    <xf numFmtId="0" fontId="29" fillId="0" borderId="70" xfId="0" applyFont="1" applyBorder="1" applyAlignment="1">
      <alignment horizontal="center" vertical="center" wrapText="1"/>
    </xf>
    <xf numFmtId="0" fontId="40" fillId="24" borderId="47" xfId="0" applyFont="1" applyFill="1" applyBorder="1" applyAlignment="1">
      <alignment horizontal="left" vertical="center" wrapText="1"/>
    </xf>
    <xf numFmtId="0" fontId="12" fillId="0" borderId="48" xfId="0" applyFont="1" applyBorder="1" applyAlignment="1">
      <alignment vertical="center" wrapText="1"/>
    </xf>
    <xf numFmtId="0" fontId="47" fillId="0" borderId="49" xfId="0" applyFont="1" applyBorder="1" applyAlignment="1">
      <alignment horizontal="center" vertical="center" wrapText="1"/>
    </xf>
    <xf numFmtId="3" fontId="5" fillId="0" borderId="49" xfId="0" applyNumberFormat="1" applyFont="1" applyBorder="1" applyAlignment="1">
      <alignment vertical="center"/>
    </xf>
    <xf numFmtId="0" fontId="29" fillId="26" borderId="62" xfId="0" applyFont="1" applyFill="1" applyBorder="1" applyAlignment="1">
      <alignment horizontal="center" vertical="center" wrapText="1"/>
    </xf>
    <xf numFmtId="0" fontId="29" fillId="29" borderId="62" xfId="0" applyFont="1" applyFill="1" applyBorder="1" applyAlignment="1">
      <alignment horizontal="center" vertical="center" wrapText="1"/>
    </xf>
    <xf numFmtId="0" fontId="29" fillId="26" borderId="59" xfId="0" applyFont="1" applyFill="1" applyBorder="1" applyAlignment="1">
      <alignment horizontal="center" vertical="center" wrapText="1"/>
    </xf>
    <xf numFmtId="0" fontId="40" fillId="20" borderId="38" xfId="0" applyFont="1" applyFill="1" applyBorder="1" applyAlignment="1">
      <alignment horizontal="left" vertical="center" wrapText="1"/>
    </xf>
    <xf numFmtId="0" fontId="5" fillId="20" borderId="28" xfId="0" applyFont="1" applyFill="1" applyBorder="1" applyAlignment="1">
      <alignment horizontal="center" vertical="center" wrapText="1"/>
    </xf>
    <xf numFmtId="0" fontId="27" fillId="20" borderId="28" xfId="0" applyFont="1" applyFill="1" applyBorder="1" applyAlignment="1">
      <alignment horizontal="center" vertical="center" wrapText="1"/>
    </xf>
    <xf numFmtId="3" fontId="5" fillId="20" borderId="28" xfId="0" applyNumberFormat="1" applyFont="1" applyFill="1" applyBorder="1" applyAlignment="1">
      <alignment horizontal="right" vertical="center"/>
    </xf>
    <xf numFmtId="3" fontId="5" fillId="20" borderId="28" xfId="0" applyNumberFormat="1" applyFont="1" applyFill="1" applyBorder="1" applyAlignment="1">
      <alignment horizontal="center" vertical="center"/>
    </xf>
    <xf numFmtId="0" fontId="5" fillId="20" borderId="33" xfId="0" applyFont="1" applyFill="1" applyBorder="1" applyAlignment="1">
      <alignment horizontal="right" vertical="center" wrapText="1"/>
    </xf>
    <xf numFmtId="3" fontId="47" fillId="0" borderId="26" xfId="0" applyNumberFormat="1" applyFont="1" applyBorder="1" applyAlignment="1">
      <alignment horizontal="center" vertical="center" wrapText="1"/>
    </xf>
    <xf numFmtId="0" fontId="12" fillId="20" borderId="23" xfId="0" applyFont="1" applyFill="1" applyBorder="1" applyAlignment="1">
      <alignment vertical="center" wrapText="1"/>
    </xf>
    <xf numFmtId="0" fontId="5" fillId="20" borderId="24" xfId="0" applyFont="1" applyFill="1" applyBorder="1" applyAlignment="1">
      <alignment horizontal="center" vertical="center" wrapText="1"/>
    </xf>
    <xf numFmtId="0" fontId="27" fillId="20" borderId="24" xfId="0" applyFont="1" applyFill="1" applyBorder="1" applyAlignment="1">
      <alignment horizontal="center" vertical="center" wrapText="1"/>
    </xf>
    <xf numFmtId="3" fontId="5" fillId="20" borderId="24" xfId="0" applyNumberFormat="1" applyFont="1" applyFill="1" applyBorder="1" applyAlignment="1">
      <alignment vertical="center" wrapText="1"/>
    </xf>
    <xf numFmtId="0" fontId="47" fillId="20" borderId="24" xfId="0" applyFont="1" applyFill="1" applyBorder="1" applyAlignment="1">
      <alignment horizontal="center" vertical="center" wrapText="1"/>
    </xf>
    <xf numFmtId="0" fontId="5" fillId="20" borderId="29" xfId="0" applyFont="1" applyFill="1" applyBorder="1" applyAlignment="1">
      <alignment horizontal="right" vertical="center" wrapText="1"/>
    </xf>
    <xf numFmtId="0" fontId="29" fillId="26" borderId="74" xfId="0" applyFont="1" applyFill="1" applyBorder="1" applyAlignment="1">
      <alignment horizontal="center" vertical="center" wrapText="1"/>
    </xf>
    <xf numFmtId="0" fontId="44" fillId="0" borderId="26" xfId="0" applyFont="1" applyBorder="1" applyAlignment="1">
      <alignment horizontal="center" vertical="center" wrapText="1"/>
    </xf>
    <xf numFmtId="3" fontId="44" fillId="0" borderId="26" xfId="0" applyNumberFormat="1" applyFont="1" applyBorder="1" applyAlignment="1">
      <alignment vertical="center"/>
    </xf>
    <xf numFmtId="0" fontId="42" fillId="29" borderId="30" xfId="0" applyFont="1" applyFill="1" applyBorder="1" applyAlignment="1">
      <alignment horizontal="center" vertical="center" wrapText="1"/>
    </xf>
    <xf numFmtId="0" fontId="40" fillId="0" borderId="47" xfId="0" applyFont="1" applyBorder="1" applyAlignment="1">
      <alignment vertical="center" wrapText="1"/>
    </xf>
    <xf numFmtId="0" fontId="5" fillId="0" borderId="50" xfId="0" applyFont="1" applyBorder="1" applyAlignment="1">
      <alignment horizontal="right" vertical="center"/>
    </xf>
    <xf numFmtId="0" fontId="10" fillId="0" borderId="75" xfId="0" applyFont="1" applyBorder="1" applyAlignment="1">
      <alignment horizontal="left" vertical="center" wrapText="1"/>
    </xf>
    <xf numFmtId="3" fontId="5" fillId="19" borderId="31" xfId="0" applyNumberFormat="1" applyFont="1" applyFill="1" applyBorder="1" applyAlignment="1">
      <alignment vertical="center"/>
    </xf>
    <xf numFmtId="0" fontId="5" fillId="19" borderId="32" xfId="0" applyFont="1" applyFill="1" applyBorder="1" applyAlignment="1">
      <alignment horizontal="right" vertical="center"/>
    </xf>
    <xf numFmtId="0" fontId="5" fillId="21" borderId="18" xfId="0" applyFont="1" applyFill="1" applyBorder="1" applyAlignment="1">
      <alignment horizontal="center" vertical="center" wrapText="1"/>
    </xf>
    <xf numFmtId="0" fontId="27" fillId="21" borderId="18" xfId="0" applyFont="1" applyFill="1" applyBorder="1" applyAlignment="1">
      <alignment horizontal="center" vertical="center" wrapText="1"/>
    </xf>
    <xf numFmtId="0" fontId="5" fillId="21" borderId="20" xfId="0" applyFont="1" applyFill="1" applyBorder="1" applyAlignment="1">
      <alignment horizontal="right" vertical="center"/>
    </xf>
    <xf numFmtId="0" fontId="29" fillId="26" borderId="15" xfId="0" applyFont="1" applyFill="1" applyBorder="1" applyAlignment="1">
      <alignment horizontal="center" vertical="center" wrapText="1"/>
    </xf>
    <xf numFmtId="0" fontId="29" fillId="26" borderId="21" xfId="0" applyFont="1" applyFill="1" applyBorder="1" applyAlignment="1">
      <alignment horizontal="center" vertical="center" wrapText="1"/>
    </xf>
    <xf numFmtId="0" fontId="5" fillId="31" borderId="18" xfId="0" applyFont="1" applyFill="1" applyBorder="1" applyAlignment="1">
      <alignment horizontal="center" vertical="center" wrapText="1"/>
    </xf>
    <xf numFmtId="0" fontId="5" fillId="31" borderId="17" xfId="0" applyFont="1" applyFill="1" applyBorder="1" applyAlignment="1">
      <alignment horizontal="center" vertical="center" wrapText="1"/>
    </xf>
    <xf numFmtId="0" fontId="5" fillId="31" borderId="49" xfId="0" applyFont="1" applyFill="1" applyBorder="1" applyAlignment="1">
      <alignment horizontal="center" vertical="center" wrapText="1"/>
    </xf>
    <xf numFmtId="0" fontId="29" fillId="27" borderId="62" xfId="0" applyFont="1" applyFill="1" applyBorder="1" applyAlignment="1">
      <alignment horizontal="center" vertical="center" wrapText="1"/>
    </xf>
    <xf numFmtId="0" fontId="5" fillId="30" borderId="26" xfId="0" applyFont="1" applyFill="1" applyBorder="1" applyAlignment="1">
      <alignment horizontal="center" vertical="center" wrapText="1"/>
    </xf>
    <xf numFmtId="0" fontId="8" fillId="0" borderId="25" xfId="0" applyFont="1" applyBorder="1" applyAlignment="1">
      <alignment horizontal="center" vertical="center" textRotation="90" wrapText="1"/>
    </xf>
    <xf numFmtId="0" fontId="8" fillId="0" borderId="38" xfId="0" applyFont="1" applyBorder="1" applyAlignment="1">
      <alignment horizontal="center" vertical="center" textRotation="90" wrapText="1"/>
    </xf>
    <xf numFmtId="0" fontId="8" fillId="0" borderId="39" xfId="0" applyFont="1" applyBorder="1" applyAlignment="1">
      <alignment horizontal="center" vertical="center" textRotation="90" wrapText="1"/>
    </xf>
    <xf numFmtId="0" fontId="5" fillId="19" borderId="31" xfId="0" applyFont="1" applyFill="1" applyBorder="1" applyAlignment="1">
      <alignment horizontal="center" vertical="center" wrapText="1"/>
    </xf>
    <xf numFmtId="0" fontId="5" fillId="19" borderId="54" xfId="0" applyFont="1" applyFill="1" applyBorder="1" applyAlignment="1">
      <alignment horizontal="center" vertical="center" wrapText="1"/>
    </xf>
    <xf numFmtId="0" fontId="36" fillId="0" borderId="32" xfId="0" applyFont="1" applyBorder="1" applyAlignment="1">
      <alignment horizontal="left" vertical="center" wrapText="1"/>
    </xf>
    <xf numFmtId="0" fontId="36" fillId="0" borderId="55" xfId="0" applyFont="1" applyBorder="1" applyAlignment="1">
      <alignment horizontal="left" vertical="center" wrapText="1"/>
    </xf>
    <xf numFmtId="0" fontId="6" fillId="18" borderId="37" xfId="0" applyFont="1" applyFill="1" applyBorder="1" applyAlignment="1">
      <alignment horizontal="left" vertical="center" wrapText="1"/>
    </xf>
    <xf numFmtId="0" fontId="6" fillId="18" borderId="41" xfId="0" applyFont="1" applyFill="1" applyBorder="1" applyAlignment="1">
      <alignment horizontal="left" vertical="center" wrapText="1"/>
    </xf>
    <xf numFmtId="0" fontId="6" fillId="18" borderId="42" xfId="0" applyFont="1" applyFill="1" applyBorder="1" applyAlignment="1">
      <alignment horizontal="left" vertical="center" wrapText="1"/>
    </xf>
    <xf numFmtId="0" fontId="6" fillId="0" borderId="37" xfId="0" applyFont="1" applyBorder="1" applyAlignment="1">
      <alignment horizontal="left" vertical="center" wrapText="1"/>
    </xf>
    <xf numFmtId="0" fontId="6" fillId="0" borderId="41" xfId="0" applyFont="1" applyBorder="1" applyAlignment="1">
      <alignment horizontal="left" vertical="center" wrapText="1"/>
    </xf>
    <xf numFmtId="0" fontId="6" fillId="0" borderId="42" xfId="0" applyFont="1" applyBorder="1" applyAlignment="1">
      <alignment horizontal="left" vertical="center" wrapText="1"/>
    </xf>
    <xf numFmtId="0" fontId="40" fillId="18" borderId="25" xfId="0" applyFont="1" applyFill="1" applyBorder="1" applyAlignment="1">
      <alignment horizontal="left" vertical="center" wrapText="1"/>
    </xf>
    <xf numFmtId="0" fontId="40" fillId="18" borderId="39" xfId="0" applyFont="1" applyFill="1" applyBorder="1" applyAlignment="1">
      <alignment horizontal="left" vertical="center" wrapText="1"/>
    </xf>
    <xf numFmtId="0" fontId="40" fillId="0" borderId="25" xfId="0" applyFont="1" applyBorder="1" applyAlignment="1">
      <alignment horizontal="left" vertical="center" wrapText="1"/>
    </xf>
    <xf numFmtId="0" fontId="40" fillId="0" borderId="39" xfId="0" applyFont="1" applyBorder="1" applyAlignment="1">
      <alignment horizontal="left" vertical="center" wrapText="1"/>
    </xf>
    <xf numFmtId="0" fontId="40" fillId="18" borderId="38" xfId="0" applyFont="1" applyFill="1" applyBorder="1" applyAlignment="1">
      <alignment horizontal="left" vertical="center" wrapText="1"/>
    </xf>
    <xf numFmtId="0" fontId="40" fillId="0" borderId="38" xfId="0" applyFont="1" applyBorder="1" applyAlignment="1">
      <alignment horizontal="left" vertical="center" wrapText="1"/>
    </xf>
    <xf numFmtId="0" fontId="2" fillId="13" borderId="37" xfId="0" applyFont="1" applyFill="1" applyBorder="1" applyAlignment="1">
      <alignment horizontal="center" vertical="center" wrapText="1"/>
    </xf>
    <xf numFmtId="0" fontId="2" fillId="13" borderId="41" xfId="0" applyFont="1" applyFill="1" applyBorder="1" applyAlignment="1">
      <alignment horizontal="center" vertical="center" wrapText="1"/>
    </xf>
    <xf numFmtId="0" fontId="2" fillId="13" borderId="42" xfId="0" applyFont="1" applyFill="1" applyBorder="1" applyAlignment="1">
      <alignment horizontal="center" vertical="center" wrapText="1"/>
    </xf>
    <xf numFmtId="0" fontId="6" fillId="0" borderId="36" xfId="0" applyFont="1" applyBorder="1" applyAlignment="1">
      <alignment horizontal="left" vertical="center" wrapText="1"/>
    </xf>
    <xf numFmtId="0" fontId="6" fillId="0" borderId="61" xfId="0" applyFont="1" applyBorder="1" applyAlignment="1">
      <alignment horizontal="left" vertical="center" wrapText="1"/>
    </xf>
    <xf numFmtId="0" fontId="6" fillId="0" borderId="12" xfId="0" applyFont="1" applyBorder="1" applyAlignment="1">
      <alignment horizontal="left" vertical="center" wrapText="1"/>
    </xf>
    <xf numFmtId="0" fontId="40" fillId="18" borderId="34" xfId="0" applyFont="1" applyFill="1" applyBorder="1" applyAlignment="1">
      <alignment horizontal="left" vertical="center" wrapText="1"/>
    </xf>
    <xf numFmtId="0" fontId="40" fillId="18" borderId="36" xfId="0" applyFont="1" applyFill="1" applyBorder="1" applyAlignment="1">
      <alignment horizontal="left" vertical="center" wrapText="1"/>
    </xf>
    <xf numFmtId="0" fontId="3" fillId="13" borderId="25" xfId="0" applyFont="1" applyFill="1" applyBorder="1" applyAlignment="1">
      <alignment horizontal="center" vertical="center" textRotation="90" wrapText="1"/>
    </xf>
    <xf numFmtId="0" fontId="3" fillId="13" borderId="38" xfId="0" applyFont="1" applyFill="1" applyBorder="1" applyAlignment="1">
      <alignment horizontal="center" vertical="center" textRotation="90" wrapText="1"/>
    </xf>
    <xf numFmtId="0" fontId="3" fillId="13" borderId="39" xfId="0" applyFont="1" applyFill="1" applyBorder="1" applyAlignment="1">
      <alignment horizontal="center" vertical="center" textRotation="90" wrapText="1"/>
    </xf>
    <xf numFmtId="0" fontId="39" fillId="13" borderId="52" xfId="0" applyFont="1" applyFill="1" applyBorder="1" applyAlignment="1">
      <alignment horizontal="center" vertical="center" wrapText="1"/>
    </xf>
    <xf numFmtId="0" fontId="39" fillId="13" borderId="23" xfId="0" applyFont="1" applyFill="1" applyBorder="1" applyAlignment="1">
      <alignment horizontal="center" vertical="center" wrapText="1"/>
    </xf>
    <xf numFmtId="0" fontId="39" fillId="13" borderId="53" xfId="0" applyFont="1" applyFill="1" applyBorder="1" applyAlignment="1">
      <alignment horizontal="center" vertical="center" wrapText="1"/>
    </xf>
    <xf numFmtId="0" fontId="3" fillId="13" borderId="25" xfId="0" applyFont="1" applyFill="1" applyBorder="1" applyAlignment="1">
      <alignment horizontal="center" vertical="center" wrapText="1"/>
    </xf>
    <xf numFmtId="0" fontId="3" fillId="13" borderId="38" xfId="0" applyFont="1" applyFill="1" applyBorder="1" applyAlignment="1">
      <alignment horizontal="center" vertical="center" wrapText="1"/>
    </xf>
    <xf numFmtId="0" fontId="3" fillId="13" borderId="39" xfId="0" applyFont="1" applyFill="1" applyBorder="1" applyAlignment="1">
      <alignment horizontal="center" vertical="center" wrapText="1"/>
    </xf>
    <xf numFmtId="3" fontId="3" fillId="13" borderId="31" xfId="0" applyNumberFormat="1" applyFont="1" applyFill="1" applyBorder="1" applyAlignment="1">
      <alignment horizontal="center" wrapText="1"/>
    </xf>
    <xf numFmtId="3" fontId="3" fillId="13" borderId="24" xfId="0" applyNumberFormat="1" applyFont="1" applyFill="1" applyBorder="1" applyAlignment="1">
      <alignment horizontal="center" wrapText="1"/>
    </xf>
    <xf numFmtId="3" fontId="3" fillId="13" borderId="54" xfId="0" applyNumberFormat="1" applyFont="1" applyFill="1" applyBorder="1" applyAlignment="1">
      <alignment horizontal="center" wrapText="1"/>
    </xf>
    <xf numFmtId="3" fontId="3" fillId="13" borderId="32" xfId="0" applyNumberFormat="1" applyFont="1" applyFill="1" applyBorder="1" applyAlignment="1">
      <alignment horizontal="center" wrapText="1"/>
    </xf>
    <xf numFmtId="3" fontId="3" fillId="13" borderId="29" xfId="0" applyNumberFormat="1" applyFont="1" applyFill="1" applyBorder="1" applyAlignment="1">
      <alignment horizontal="center" wrapText="1"/>
    </xf>
    <xf numFmtId="3" fontId="3" fillId="13" borderId="55" xfId="0" applyNumberFormat="1" applyFont="1" applyFill="1" applyBorder="1" applyAlignment="1">
      <alignment horizontal="center" wrapText="1"/>
    </xf>
    <xf numFmtId="0" fontId="3" fillId="13" borderId="31" xfId="0" applyFont="1" applyFill="1" applyBorder="1" applyAlignment="1">
      <alignment horizontal="center" vertical="center" wrapText="1"/>
    </xf>
    <xf numFmtId="0" fontId="3" fillId="13" borderId="24" xfId="0" applyFont="1" applyFill="1" applyBorder="1" applyAlignment="1">
      <alignment horizontal="center" vertical="center" wrapText="1"/>
    </xf>
    <xf numFmtId="0" fontId="3" fillId="13" borderId="54" xfId="0" applyFont="1" applyFill="1" applyBorder="1" applyAlignment="1">
      <alignment horizontal="center" vertical="center" wrapText="1"/>
    </xf>
    <xf numFmtId="0" fontId="2" fillId="23" borderId="37" xfId="0" applyFont="1" applyFill="1" applyBorder="1" applyAlignment="1">
      <alignment horizontal="center" vertical="center" wrapText="1"/>
    </xf>
    <xf numFmtId="0" fontId="2" fillId="23" borderId="41" xfId="0" applyFont="1" applyFill="1" applyBorder="1" applyAlignment="1">
      <alignment horizontal="center" vertical="center" wrapText="1"/>
    </xf>
    <xf numFmtId="0" fontId="2" fillId="23" borderId="42" xfId="0" applyFont="1" applyFill="1" applyBorder="1" applyAlignment="1">
      <alignment horizontal="center" vertical="center" wrapText="1"/>
    </xf>
    <xf numFmtId="0" fontId="3" fillId="16" borderId="25" xfId="0" applyFont="1" applyFill="1" applyBorder="1" applyAlignment="1">
      <alignment horizontal="center" vertical="center" textRotation="90" wrapText="1"/>
    </xf>
    <xf numFmtId="0" fontId="3" fillId="16" borderId="38" xfId="0" applyFont="1" applyFill="1" applyBorder="1" applyAlignment="1">
      <alignment horizontal="center" vertical="center" textRotation="90" wrapText="1"/>
    </xf>
    <xf numFmtId="0" fontId="3" fillId="16" borderId="39" xfId="0" applyFont="1" applyFill="1" applyBorder="1" applyAlignment="1">
      <alignment horizontal="center" vertical="center" textRotation="90" wrapText="1"/>
    </xf>
    <xf numFmtId="0" fontId="39" fillId="16" borderId="52" xfId="0" applyFont="1" applyFill="1" applyBorder="1" applyAlignment="1">
      <alignment horizontal="center" vertical="center" wrapText="1"/>
    </xf>
    <xf numFmtId="0" fontId="39" fillId="16" borderId="23" xfId="0" applyFont="1" applyFill="1" applyBorder="1" applyAlignment="1">
      <alignment horizontal="center" vertical="center" wrapText="1"/>
    </xf>
    <xf numFmtId="0" fontId="39" fillId="16" borderId="53" xfId="0" applyFont="1" applyFill="1" applyBorder="1" applyAlignment="1">
      <alignment horizontal="center" vertical="center" wrapText="1"/>
    </xf>
    <xf numFmtId="0" fontId="40" fillId="20" borderId="25" xfId="0" applyFont="1" applyFill="1" applyBorder="1" applyAlignment="1">
      <alignment horizontal="left" vertical="center" wrapText="1"/>
    </xf>
    <xf numFmtId="0" fontId="40" fillId="20" borderId="39" xfId="0" applyFont="1" applyFill="1" applyBorder="1" applyAlignment="1">
      <alignment horizontal="left" vertical="center" wrapText="1"/>
    </xf>
    <xf numFmtId="0" fontId="40" fillId="20" borderId="51" xfId="0" applyFont="1" applyFill="1" applyBorder="1" applyAlignment="1">
      <alignment horizontal="left" vertical="center" wrapText="1"/>
    </xf>
    <xf numFmtId="0" fontId="40" fillId="20" borderId="58" xfId="0" applyFont="1" applyFill="1" applyBorder="1" applyAlignment="1">
      <alignment horizontal="left" vertical="center" wrapText="1"/>
    </xf>
    <xf numFmtId="0" fontId="40" fillId="20" borderId="38" xfId="0" applyFont="1" applyFill="1" applyBorder="1" applyAlignment="1">
      <alignment horizontal="left" vertical="center" wrapText="1"/>
    </xf>
    <xf numFmtId="0" fontId="40" fillId="20" borderId="35" xfId="0" applyFont="1" applyFill="1" applyBorder="1" applyAlignment="1">
      <alignment horizontal="left" vertical="center" wrapText="1"/>
    </xf>
    <xf numFmtId="0" fontId="40" fillId="20" borderId="34" xfId="0" applyFont="1" applyFill="1" applyBorder="1" applyAlignment="1">
      <alignment horizontal="left" vertical="center" wrapText="1"/>
    </xf>
    <xf numFmtId="0" fontId="40" fillId="20" borderId="36" xfId="0" applyFont="1" applyFill="1" applyBorder="1" applyAlignment="1">
      <alignment horizontal="left" vertical="center" wrapText="1"/>
    </xf>
    <xf numFmtId="0" fontId="40" fillId="0" borderId="71" xfId="0" applyFont="1" applyBorder="1" applyAlignment="1">
      <alignment horizontal="left" vertical="center" wrapText="1"/>
    </xf>
    <xf numFmtId="0" fontId="40" fillId="0" borderId="72" xfId="0" applyFont="1" applyBorder="1" applyAlignment="1">
      <alignment horizontal="left" vertical="center" wrapText="1"/>
    </xf>
    <xf numFmtId="0" fontId="40" fillId="0" borderId="73" xfId="0" applyFont="1" applyBorder="1" applyAlignment="1">
      <alignment horizontal="left" vertical="center" wrapText="1"/>
    </xf>
    <xf numFmtId="0" fontId="8" fillId="0" borderId="71" xfId="0" applyFont="1" applyBorder="1" applyAlignment="1">
      <alignment horizontal="center" vertical="center" textRotation="90" wrapText="1"/>
    </xf>
    <xf numFmtId="0" fontId="8" fillId="0" borderId="72" xfId="0" applyFont="1" applyBorder="1" applyAlignment="1">
      <alignment horizontal="center" vertical="center" textRotation="90" wrapText="1"/>
    </xf>
    <xf numFmtId="0" fontId="8" fillId="0" borderId="73" xfId="0" applyFont="1" applyBorder="1" applyAlignment="1">
      <alignment horizontal="center" vertical="center" textRotation="90" wrapText="1"/>
    </xf>
    <xf numFmtId="0" fontId="6" fillId="20" borderId="37" xfId="0" applyFont="1" applyFill="1" applyBorder="1" applyAlignment="1">
      <alignment horizontal="left" vertical="center" wrapText="1"/>
    </xf>
    <xf numFmtId="0" fontId="6" fillId="20" borderId="41" xfId="0" applyFont="1" applyFill="1" applyBorder="1" applyAlignment="1">
      <alignment horizontal="left" vertical="center" wrapText="1"/>
    </xf>
    <xf numFmtId="0" fontId="6" fillId="20" borderId="42" xfId="0" applyFont="1" applyFill="1" applyBorder="1" applyAlignment="1">
      <alignment horizontal="left" vertical="center" wrapText="1"/>
    </xf>
    <xf numFmtId="0" fontId="6" fillId="24" borderId="37" xfId="0" applyFont="1" applyFill="1" applyBorder="1" applyAlignment="1">
      <alignment horizontal="left" vertical="center" wrapText="1"/>
    </xf>
    <xf numFmtId="0" fontId="6" fillId="24" borderId="41" xfId="0" applyFont="1" applyFill="1" applyBorder="1" applyAlignment="1">
      <alignment horizontal="left" vertical="center" wrapText="1"/>
    </xf>
    <xf numFmtId="0" fontId="6" fillId="24" borderId="42" xfId="0" applyFont="1" applyFill="1" applyBorder="1" applyAlignment="1">
      <alignment horizontal="left" vertical="center" wrapText="1"/>
    </xf>
    <xf numFmtId="0" fontId="6" fillId="24" borderId="35" xfId="0" applyFont="1" applyFill="1" applyBorder="1" applyAlignment="1">
      <alignment horizontal="left" vertical="center" wrapText="1"/>
    </xf>
    <xf numFmtId="0" fontId="6" fillId="24" borderId="40" xfId="0" applyFont="1" applyFill="1" applyBorder="1" applyAlignment="1">
      <alignment horizontal="left" vertical="center" wrapText="1"/>
    </xf>
    <xf numFmtId="0" fontId="6" fillId="24" borderId="11" xfId="0" applyFont="1" applyFill="1" applyBorder="1" applyAlignment="1">
      <alignment horizontal="left" vertical="center" wrapText="1"/>
    </xf>
    <xf numFmtId="3" fontId="3" fillId="16" borderId="32" xfId="0" applyNumberFormat="1" applyFont="1" applyFill="1" applyBorder="1" applyAlignment="1">
      <alignment horizontal="center" vertical="center" wrapText="1"/>
    </xf>
    <xf numFmtId="3" fontId="3" fillId="16" borderId="29" xfId="0" applyNumberFormat="1" applyFont="1" applyFill="1" applyBorder="1" applyAlignment="1">
      <alignment horizontal="center" vertical="center" wrapText="1"/>
    </xf>
    <xf numFmtId="3" fontId="3" fillId="16" borderId="55" xfId="0" applyNumberFormat="1" applyFont="1" applyFill="1" applyBorder="1" applyAlignment="1">
      <alignment horizontal="center" vertical="center" wrapText="1"/>
    </xf>
    <xf numFmtId="3" fontId="3" fillId="16" borderId="31" xfId="0" applyNumberFormat="1" applyFont="1" applyFill="1" applyBorder="1" applyAlignment="1">
      <alignment horizontal="center" wrapText="1"/>
    </xf>
    <xf numFmtId="3" fontId="3" fillId="16" borderId="24" xfId="0" applyNumberFormat="1" applyFont="1" applyFill="1" applyBorder="1" applyAlignment="1">
      <alignment horizontal="center" wrapText="1"/>
    </xf>
    <xf numFmtId="3" fontId="3" fillId="16" borderId="54" xfId="0" applyNumberFormat="1" applyFont="1" applyFill="1" applyBorder="1" applyAlignment="1">
      <alignment horizontal="center" wrapText="1"/>
    </xf>
    <xf numFmtId="3" fontId="3" fillId="16" borderId="31" xfId="0" applyNumberFormat="1" applyFont="1" applyFill="1" applyBorder="1" applyAlignment="1">
      <alignment horizontal="center" vertical="center" wrapText="1"/>
    </xf>
    <xf numFmtId="3" fontId="3" fillId="16" borderId="24" xfId="0" applyNumberFormat="1" applyFont="1" applyFill="1" applyBorder="1" applyAlignment="1">
      <alignment horizontal="center" vertical="center" wrapText="1"/>
    </xf>
    <xf numFmtId="3" fontId="3" fillId="16" borderId="54" xfId="0" applyNumberFormat="1" applyFont="1" applyFill="1" applyBorder="1" applyAlignment="1">
      <alignment horizontal="center" vertical="center" wrapText="1"/>
    </xf>
    <xf numFmtId="0" fontId="3" fillId="16" borderId="31" xfId="0" applyFont="1" applyFill="1" applyBorder="1" applyAlignment="1">
      <alignment horizontal="center" vertical="center" wrapText="1"/>
    </xf>
    <xf numFmtId="0" fontId="3" fillId="16" borderId="24" xfId="0" applyFont="1" applyFill="1" applyBorder="1" applyAlignment="1">
      <alignment horizontal="center" vertical="center" wrapText="1"/>
    </xf>
    <xf numFmtId="0" fontId="3" fillId="16" borderId="54" xfId="0" applyFont="1" applyFill="1" applyBorder="1" applyAlignment="1">
      <alignment horizontal="center" vertical="center" wrapText="1"/>
    </xf>
    <xf numFmtId="3" fontId="3" fillId="16" borderId="32" xfId="0" applyNumberFormat="1" applyFont="1" applyFill="1" applyBorder="1" applyAlignment="1">
      <alignment horizontal="center" wrapText="1"/>
    </xf>
    <xf numFmtId="3" fontId="3" fillId="16" borderId="29" xfId="0" applyNumberFormat="1" applyFont="1" applyFill="1" applyBorder="1" applyAlignment="1">
      <alignment horizontal="center" wrapText="1"/>
    </xf>
    <xf numFmtId="3" fontId="3" fillId="16" borderId="55" xfId="0" applyNumberFormat="1" applyFont="1" applyFill="1" applyBorder="1" applyAlignment="1">
      <alignment horizontal="center" wrapText="1"/>
    </xf>
    <xf numFmtId="0" fontId="4" fillId="14" borderId="22" xfId="0" applyFont="1" applyFill="1" applyBorder="1" applyAlignment="1">
      <alignment horizontal="center" vertical="center" wrapText="1"/>
    </xf>
    <xf numFmtId="0" fontId="4" fillId="14" borderId="19" xfId="0" applyFont="1" applyFill="1" applyBorder="1" applyAlignment="1">
      <alignment horizontal="center" vertical="center" wrapText="1"/>
    </xf>
    <xf numFmtId="0" fontId="4" fillId="14" borderId="27" xfId="0" applyFont="1" applyFill="1" applyBorder="1" applyAlignment="1">
      <alignment horizontal="center" vertical="center" wrapText="1"/>
    </xf>
    <xf numFmtId="44" fontId="40" fillId="19" borderId="25" xfId="3" applyFont="1" applyFill="1" applyBorder="1" applyAlignment="1">
      <alignment horizontal="left" vertical="center" wrapText="1"/>
    </xf>
    <xf numFmtId="44" fontId="40" fillId="19" borderId="38" xfId="3" applyFont="1" applyFill="1" applyBorder="1" applyAlignment="1">
      <alignment horizontal="left" vertical="center" wrapText="1"/>
    </xf>
    <xf numFmtId="44" fontId="40" fillId="19" borderId="39" xfId="3" applyFont="1" applyFill="1" applyBorder="1" applyAlignment="1">
      <alignment horizontal="left" vertical="center" wrapText="1"/>
    </xf>
    <xf numFmtId="0" fontId="40" fillId="19" borderId="25" xfId="0" applyFont="1" applyFill="1" applyBorder="1" applyAlignment="1">
      <alignment horizontal="left" vertical="center" wrapText="1"/>
    </xf>
    <xf numFmtId="0" fontId="40" fillId="19" borderId="38" xfId="0" applyFont="1" applyFill="1" applyBorder="1" applyAlignment="1">
      <alignment horizontal="left" vertical="center" wrapText="1"/>
    </xf>
    <xf numFmtId="0" fontId="40" fillId="19" borderId="39" xfId="0" applyFont="1" applyFill="1" applyBorder="1" applyAlignment="1">
      <alignment horizontal="left" vertical="center" wrapText="1"/>
    </xf>
    <xf numFmtId="44" fontId="40" fillId="19" borderId="35" xfId="3" applyFont="1" applyFill="1" applyBorder="1" applyAlignment="1">
      <alignment horizontal="left" vertical="center" wrapText="1"/>
    </xf>
    <xf numFmtId="44" fontId="40" fillId="19" borderId="36" xfId="3" applyFont="1" applyFill="1" applyBorder="1" applyAlignment="1">
      <alignment horizontal="left" vertical="center" wrapText="1"/>
    </xf>
    <xf numFmtId="44" fontId="40" fillId="19" borderId="34" xfId="3" applyFont="1" applyFill="1" applyBorder="1" applyAlignment="1">
      <alignment horizontal="left" vertical="center" wrapText="1"/>
    </xf>
    <xf numFmtId="0" fontId="40" fillId="0" borderId="35" xfId="0" applyFont="1" applyBorder="1" applyAlignment="1">
      <alignment horizontal="left" vertical="center" wrapText="1"/>
    </xf>
    <xf numFmtId="0" fontId="40" fillId="0" borderId="34" xfId="0" applyFont="1" applyBorder="1" applyAlignment="1">
      <alignment horizontal="left" vertical="center" wrapText="1"/>
    </xf>
    <xf numFmtId="0" fontId="40" fillId="0" borderId="36" xfId="0" applyFont="1" applyBorder="1" applyAlignment="1">
      <alignment horizontal="left" vertical="center" wrapText="1"/>
    </xf>
    <xf numFmtId="0" fontId="4" fillId="14" borderId="32" xfId="0" applyFont="1" applyFill="1" applyBorder="1" applyAlignment="1">
      <alignment horizontal="center" vertical="center" wrapText="1"/>
    </xf>
    <xf numFmtId="0" fontId="4" fillId="14" borderId="29" xfId="0" applyFont="1" applyFill="1" applyBorder="1" applyAlignment="1">
      <alignment horizontal="center" vertical="center" wrapText="1"/>
    </xf>
    <xf numFmtId="0" fontId="4" fillId="14" borderId="55" xfId="0" applyFont="1" applyFill="1" applyBorder="1" applyAlignment="1">
      <alignment horizontal="center" vertical="center" wrapText="1"/>
    </xf>
    <xf numFmtId="44" fontId="2" fillId="14" borderId="37" xfId="3" applyFont="1" applyFill="1" applyBorder="1" applyAlignment="1">
      <alignment horizontal="center" vertical="center" wrapText="1"/>
    </xf>
    <xf numFmtId="44" fontId="2" fillId="14" borderId="41" xfId="3" applyFont="1" applyFill="1" applyBorder="1" applyAlignment="1">
      <alignment horizontal="center" vertical="center" wrapText="1"/>
    </xf>
    <xf numFmtId="44" fontId="2" fillId="14" borderId="42" xfId="3" applyFont="1" applyFill="1" applyBorder="1" applyAlignment="1">
      <alignment horizontal="center" vertical="center" wrapText="1"/>
    </xf>
    <xf numFmtId="44" fontId="8" fillId="0" borderId="25" xfId="3" applyFont="1" applyBorder="1" applyAlignment="1">
      <alignment horizontal="center" vertical="center" textRotation="90" wrapText="1"/>
    </xf>
    <xf numFmtId="44" fontId="8" fillId="0" borderId="38" xfId="3" applyFont="1" applyBorder="1" applyAlignment="1">
      <alignment horizontal="center" vertical="center" textRotation="90" wrapText="1"/>
    </xf>
    <xf numFmtId="44" fontId="8" fillId="0" borderId="39" xfId="3" applyFont="1" applyBorder="1" applyAlignment="1">
      <alignment horizontal="center" vertical="center" textRotation="90" wrapText="1"/>
    </xf>
    <xf numFmtId="0" fontId="4" fillId="14" borderId="31" xfId="0" applyFont="1" applyFill="1" applyBorder="1" applyAlignment="1">
      <alignment horizontal="center" vertical="center" wrapText="1"/>
    </xf>
    <xf numFmtId="0" fontId="4" fillId="14" borderId="24" xfId="0" applyFont="1" applyFill="1" applyBorder="1" applyAlignment="1">
      <alignment horizontal="center" vertical="center" wrapText="1"/>
    </xf>
    <xf numFmtId="0" fontId="4" fillId="14" borderId="54" xfId="0" applyFont="1" applyFill="1" applyBorder="1" applyAlignment="1">
      <alignment horizontal="center" vertical="center" wrapText="1"/>
    </xf>
    <xf numFmtId="0" fontId="4" fillId="28" borderId="32" xfId="0" applyFont="1" applyFill="1" applyBorder="1" applyAlignment="1">
      <alignment horizontal="center" wrapText="1"/>
    </xf>
    <xf numFmtId="0" fontId="4" fillId="28" borderId="29" xfId="0" applyFont="1" applyFill="1" applyBorder="1" applyAlignment="1">
      <alignment horizontal="center" wrapText="1"/>
    </xf>
    <xf numFmtId="0" fontId="4" fillId="28" borderId="55" xfId="0" applyFont="1" applyFill="1" applyBorder="1" applyAlignment="1">
      <alignment horizontal="center" wrapText="1"/>
    </xf>
    <xf numFmtId="0" fontId="41" fillId="14" borderId="52" xfId="0" applyFont="1" applyFill="1" applyBorder="1" applyAlignment="1">
      <alignment horizontal="center" vertical="center" wrapText="1"/>
    </xf>
    <xf numFmtId="0" fontId="41" fillId="14" borderId="23" xfId="0" applyFont="1" applyFill="1" applyBorder="1" applyAlignment="1">
      <alignment horizontal="center" vertical="center" wrapText="1"/>
    </xf>
    <xf numFmtId="0" fontId="41" fillId="14" borderId="53" xfId="0" applyFont="1" applyFill="1" applyBorder="1" applyAlignment="1">
      <alignment horizontal="center" vertical="center" wrapText="1"/>
    </xf>
    <xf numFmtId="3" fontId="3" fillId="14" borderId="31" xfId="0" applyNumberFormat="1" applyFont="1" applyFill="1" applyBorder="1" applyAlignment="1">
      <alignment horizontal="center" wrapText="1"/>
    </xf>
    <xf numFmtId="3" fontId="3" fillId="14" borderId="24" xfId="0" applyNumberFormat="1" applyFont="1" applyFill="1" applyBorder="1" applyAlignment="1">
      <alignment horizontal="center" wrapText="1"/>
    </xf>
    <xf numFmtId="3" fontId="3" fillId="14" borderId="54" xfId="0" applyNumberFormat="1" applyFont="1" applyFill="1" applyBorder="1" applyAlignment="1">
      <alignment horizontal="center" wrapText="1"/>
    </xf>
    <xf numFmtId="0" fontId="40" fillId="19" borderId="35" xfId="0" applyFont="1" applyFill="1" applyBorder="1" applyAlignment="1">
      <alignment horizontal="left" vertical="center" wrapText="1"/>
    </xf>
    <xf numFmtId="0" fontId="40" fillId="19" borderId="36" xfId="0" applyFont="1" applyFill="1" applyBorder="1" applyAlignment="1">
      <alignment horizontal="left" vertical="center" wrapText="1"/>
    </xf>
    <xf numFmtId="0" fontId="3" fillId="14" borderId="25" xfId="0" applyFont="1" applyFill="1" applyBorder="1" applyAlignment="1">
      <alignment horizontal="center" vertical="center" textRotation="90" wrapText="1"/>
    </xf>
    <xf numFmtId="0" fontId="3" fillId="14" borderId="38" xfId="0" applyFont="1" applyFill="1" applyBorder="1" applyAlignment="1">
      <alignment horizontal="center" vertical="center" textRotation="90" wrapText="1"/>
    </xf>
    <xf numFmtId="0" fontId="3" fillId="14" borderId="39" xfId="0" applyFont="1" applyFill="1" applyBorder="1" applyAlignment="1">
      <alignment horizontal="center" vertical="center" textRotation="90" wrapText="1"/>
    </xf>
    <xf numFmtId="0" fontId="2" fillId="15" borderId="37" xfId="0" applyFont="1" applyFill="1" applyBorder="1" applyAlignment="1">
      <alignment horizontal="center" vertical="center" wrapText="1"/>
    </xf>
    <xf numFmtId="0" fontId="2" fillId="15" borderId="41" xfId="0" applyFont="1" applyFill="1" applyBorder="1" applyAlignment="1">
      <alignment horizontal="center" vertical="center" wrapText="1"/>
    </xf>
    <xf numFmtId="0" fontId="2" fillId="15" borderId="42" xfId="0" applyFont="1" applyFill="1" applyBorder="1" applyAlignment="1">
      <alignment horizontal="center" vertical="center" wrapText="1"/>
    </xf>
    <xf numFmtId="0" fontId="40" fillId="24" borderId="25" xfId="0" applyFont="1" applyFill="1" applyBorder="1" applyAlignment="1">
      <alignment horizontal="left" vertical="center" wrapText="1"/>
    </xf>
    <xf numFmtId="0" fontId="40" fillId="24" borderId="38" xfId="0" applyFont="1" applyFill="1" applyBorder="1" applyAlignment="1">
      <alignment horizontal="left" vertical="center" wrapText="1"/>
    </xf>
    <xf numFmtId="0" fontId="40" fillId="17" borderId="25" xfId="0" applyFont="1" applyFill="1" applyBorder="1" applyAlignment="1">
      <alignment horizontal="left" vertical="center" wrapText="1"/>
    </xf>
    <xf numFmtId="0" fontId="40" fillId="17" borderId="39" xfId="0" applyFont="1" applyFill="1" applyBorder="1" applyAlignment="1">
      <alignment horizontal="left" vertical="center" wrapText="1"/>
    </xf>
    <xf numFmtId="0" fontId="35" fillId="0" borderId="25" xfId="0" applyFont="1" applyBorder="1" applyAlignment="1">
      <alignment horizontal="center" vertical="center" textRotation="90" wrapText="1"/>
    </xf>
    <xf numFmtId="0" fontId="35" fillId="0" borderId="38" xfId="0" applyFont="1" applyBorder="1" applyAlignment="1">
      <alignment horizontal="center" vertical="center" textRotation="90" wrapText="1"/>
    </xf>
    <xf numFmtId="0" fontId="35" fillId="0" borderId="39" xfId="0" applyFont="1" applyBorder="1" applyAlignment="1">
      <alignment horizontal="center" vertical="center" textRotation="90" wrapText="1"/>
    </xf>
    <xf numFmtId="0" fontId="40" fillId="17" borderId="38" xfId="0" applyFont="1" applyFill="1" applyBorder="1" applyAlignment="1">
      <alignment horizontal="left" vertical="center" wrapText="1"/>
    </xf>
    <xf numFmtId="0" fontId="3" fillId="15" borderId="22" xfId="0" applyFont="1" applyFill="1" applyBorder="1" applyAlignment="1">
      <alignment horizontal="center" vertical="center" wrapText="1"/>
    </xf>
    <xf numFmtId="0" fontId="3" fillId="15" borderId="19" xfId="0" applyFont="1" applyFill="1" applyBorder="1" applyAlignment="1">
      <alignment horizontal="center" vertical="center" wrapText="1"/>
    </xf>
    <xf numFmtId="0" fontId="3" fillId="15" borderId="27" xfId="0" applyFont="1" applyFill="1" applyBorder="1" applyAlignment="1">
      <alignment horizontal="center" vertical="center" wrapText="1"/>
    </xf>
    <xf numFmtId="0" fontId="3" fillId="15" borderId="25" xfId="0" applyFont="1" applyFill="1" applyBorder="1" applyAlignment="1">
      <alignment horizontal="center" vertical="center" textRotation="90" wrapText="1"/>
    </xf>
    <xf numFmtId="0" fontId="3" fillId="15" borderId="38" xfId="0" applyFont="1" applyFill="1" applyBorder="1" applyAlignment="1">
      <alignment horizontal="center" vertical="center" textRotation="90" wrapText="1"/>
    </xf>
    <xf numFmtId="0" fontId="3" fillId="15" borderId="39" xfId="0" applyFont="1" applyFill="1" applyBorder="1" applyAlignment="1">
      <alignment horizontal="center" vertical="center" textRotation="90" wrapText="1"/>
    </xf>
    <xf numFmtId="0" fontId="41" fillId="15" borderId="25" xfId="0" applyFont="1" applyFill="1" applyBorder="1" applyAlignment="1">
      <alignment horizontal="center" vertical="center" wrapText="1"/>
    </xf>
    <xf numFmtId="0" fontId="41" fillId="15" borderId="38" xfId="0" applyFont="1" applyFill="1" applyBorder="1" applyAlignment="1">
      <alignment horizontal="center" vertical="center" wrapText="1"/>
    </xf>
    <xf numFmtId="0" fontId="41" fillId="15" borderId="39" xfId="0" applyFont="1" applyFill="1" applyBorder="1" applyAlignment="1">
      <alignment horizontal="center" vertical="center" wrapText="1"/>
    </xf>
    <xf numFmtId="0" fontId="3" fillId="15" borderId="31" xfId="0" applyFont="1" applyFill="1" applyBorder="1" applyAlignment="1">
      <alignment horizontal="center" vertical="center" wrapText="1"/>
    </xf>
    <xf numFmtId="0" fontId="3" fillId="15" borderId="24" xfId="0" applyFont="1" applyFill="1" applyBorder="1" applyAlignment="1">
      <alignment horizontal="center" vertical="center" wrapText="1"/>
    </xf>
    <xf numFmtId="0" fontId="3" fillId="15" borderId="54" xfId="0" applyFont="1" applyFill="1" applyBorder="1" applyAlignment="1">
      <alignment horizontal="center" vertical="center" wrapText="1"/>
    </xf>
    <xf numFmtId="0" fontId="3" fillId="15" borderId="32" xfId="0" applyFont="1" applyFill="1" applyBorder="1" applyAlignment="1">
      <alignment horizontal="center" vertical="center" wrapText="1"/>
    </xf>
    <xf numFmtId="0" fontId="3" fillId="15" borderId="29" xfId="0" applyFont="1" applyFill="1" applyBorder="1" applyAlignment="1">
      <alignment horizontal="center" vertical="center" wrapText="1"/>
    </xf>
    <xf numFmtId="0" fontId="3" fillId="15" borderId="55" xfId="0" applyFont="1" applyFill="1" applyBorder="1" applyAlignment="1">
      <alignment horizontal="center" vertical="center" wrapText="1"/>
    </xf>
    <xf numFmtId="3" fontId="3" fillId="15" borderId="25" xfId="0" applyNumberFormat="1" applyFont="1" applyFill="1" applyBorder="1" applyAlignment="1">
      <alignment horizontal="center" wrapText="1"/>
    </xf>
    <xf numFmtId="3" fontId="3" fillId="15" borderId="38" xfId="0" applyNumberFormat="1" applyFont="1" applyFill="1" applyBorder="1" applyAlignment="1">
      <alignment horizontal="center" wrapText="1"/>
    </xf>
    <xf numFmtId="3" fontId="3" fillId="15" borderId="39" xfId="0" applyNumberFormat="1" applyFont="1" applyFill="1" applyBorder="1" applyAlignment="1">
      <alignment horizontal="center" wrapText="1"/>
    </xf>
    <xf numFmtId="0" fontId="4" fillId="15" borderId="25" xfId="0" applyFont="1" applyFill="1" applyBorder="1" applyAlignment="1">
      <alignment horizontal="center" vertical="center" wrapText="1"/>
    </xf>
    <xf numFmtId="0" fontId="4" fillId="15" borderId="38" xfId="0" applyFont="1" applyFill="1" applyBorder="1" applyAlignment="1">
      <alignment horizontal="center" vertical="center" wrapText="1"/>
    </xf>
    <xf numFmtId="0" fontId="4" fillId="15" borderId="39" xfId="0" applyFont="1" applyFill="1" applyBorder="1" applyAlignment="1">
      <alignment horizontal="center" vertical="center" wrapText="1"/>
    </xf>
  </cellXfs>
  <cellStyles count="25">
    <cellStyle name="Celkem" xfId="1" builtinId="25" customBuiltin="1"/>
    <cellStyle name="Hypertextový odkaz" xfId="24" builtinId="8"/>
    <cellStyle name="Kontrolní buňka" xfId="2" builtinId="23" customBuiltin="1"/>
    <cellStyle name="Měna" xfId="3" builtinId="4"/>
    <cellStyle name="Nadpis 1" xfId="4" builtinId="16" customBuiltin="1"/>
    <cellStyle name="Nadpis 2" xfId="5" builtinId="17" customBuiltin="1"/>
    <cellStyle name="Nadpis 3" xfId="6" builtinId="18" customBuiltin="1"/>
    <cellStyle name="Nadpis 4" xfId="7" builtinId="19" customBuiltin="1"/>
    <cellStyle name="Název" xfId="8" builtinId="15" customBuiltin="1"/>
    <cellStyle name="Neutrální" xfId="9" builtinId="28" customBuiltin="1"/>
    <cellStyle name="Normální" xfId="0" builtinId="0"/>
    <cellStyle name="Poznámka" xfId="10" builtinId="10" customBuiltin="1"/>
    <cellStyle name="Propojená buňka" xfId="11" builtinId="24" customBuiltin="1"/>
    <cellStyle name="Správně" xfId="12" builtinId="26" customBuiltin="1"/>
    <cellStyle name="Text upozornění" xfId="13" builtinId="11" customBuiltin="1"/>
    <cellStyle name="Vstup" xfId="14" builtinId="20" customBuiltin="1"/>
    <cellStyle name="Výpočet" xfId="15" builtinId="22" customBuiltin="1"/>
    <cellStyle name="Výstup" xfId="16" builtinId="21" customBuiltin="1"/>
    <cellStyle name="Vysvětlující text" xfId="17" builtinId="53" customBuiltin="1"/>
    <cellStyle name="Zvýraznění 1" xfId="18" builtinId="29" customBuiltin="1"/>
    <cellStyle name="Zvýraznění 2" xfId="19" builtinId="33" customBuiltin="1"/>
    <cellStyle name="Zvýraznění 3" xfId="20" builtinId="37" customBuiltin="1"/>
    <cellStyle name="Zvýraznění 4" xfId="21" builtinId="41" customBuiltin="1"/>
    <cellStyle name="Zvýraznění 5" xfId="22" builtinId="45" customBuiltin="1"/>
    <cellStyle name="Zvýraznění 6" xfId="23" builtinId="49" customBuiltin="1"/>
  </cellStyles>
  <dxfs count="0"/>
  <tableStyles count="0" defaultTableStyle="TableStyleMedium2" defaultPivotStyle="PivotStyleLight16"/>
  <colors>
    <mruColors>
      <color rgb="FF00FF00"/>
      <color rgb="FFFFFF99"/>
      <color rgb="FF22E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8" Type="http://schemas.openxmlformats.org/officeDocument/2006/relationships/hyperlink" Target="https://koprivnice.cz/assets/File.ashx?id_org=6939&amp;id_dokumenty=5904" TargetMode="External"/><Relationship Id="rId3" Type="http://schemas.openxmlformats.org/officeDocument/2006/relationships/hyperlink" Target="https://koprivnice.cz/assets/File.ashx?id_org=6939&amp;id_dokumenty=5859" TargetMode="External"/><Relationship Id="rId7" Type="http://schemas.openxmlformats.org/officeDocument/2006/relationships/hyperlink" Target="https://koprivnice.cz/plan-udrzitelne-mestske-mobility-a-koncepce-staticke-dopravy-mesta-koprivnice/d-5913/p1=4848" TargetMode="External"/><Relationship Id="rId2" Type="http://schemas.openxmlformats.org/officeDocument/2006/relationships/hyperlink" Target="https://koprivnice.cz/generel-cyklisticke-dopravy-mesta-koprivnice/d-5912/p1=4848" TargetMode="External"/><Relationship Id="rId1" Type="http://schemas.openxmlformats.org/officeDocument/2006/relationships/hyperlink" Target="https://koprivnice.cz/assets/File.ashx?id_org=6939&amp;id_dokumenty=5894" TargetMode="External"/><Relationship Id="rId6" Type="http://schemas.openxmlformats.org/officeDocument/2006/relationships/hyperlink" Target="https://koprivnice.cz/plan-udrzitelne-mestske-mobility-a-koncepce-staticke-dopravy-mesta-koprivnice/d-5913/p1=4848" TargetMode="External"/><Relationship Id="rId11" Type="http://schemas.openxmlformats.org/officeDocument/2006/relationships/printerSettings" Target="../printerSettings/printerSettings11.bin"/><Relationship Id="rId5" Type="http://schemas.openxmlformats.org/officeDocument/2006/relationships/hyperlink" Target="https://koprivnice.cz/assets/File.ashx?id_org=6939&amp;id_dokumenty=77263" TargetMode="External"/><Relationship Id="rId10" Type="http://schemas.openxmlformats.org/officeDocument/2006/relationships/hyperlink" Target="https://koprivnice.cz/dokumenty/ds-1144/p1=4848" TargetMode="External"/><Relationship Id="rId4" Type="http://schemas.openxmlformats.org/officeDocument/2006/relationships/hyperlink" Target="https://koprivnice.cz/assets/File.ashx?id_org=6939&amp;id_dokumenty=5876" TargetMode="External"/><Relationship Id="rId9" Type="http://schemas.openxmlformats.org/officeDocument/2006/relationships/hyperlink" Target="https://koprivnice.cz/o-projektu/d-77326/p1=108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8"/>
  <sheetViews>
    <sheetView zoomScale="60" workbookViewId="0">
      <selection activeCell="J28" sqref="J28"/>
    </sheetView>
  </sheetViews>
  <sheetFormatPr defaultRowHeight="12.5" x14ac:dyDescent="0.25"/>
  <cols>
    <col min="1" max="2" width="10.7265625" customWidth="1"/>
  </cols>
  <sheetData>
    <row r="8" spans="2:2" ht="32.5" x14ac:dyDescent="0.65">
      <c r="B8" s="5"/>
    </row>
  </sheetData>
  <customSheetViews>
    <customSheetView guid="{0919DC40-70F7-46DB-9F44-D3AE0E183D1A}" scale="60" showRuler="0">
      <selection activeCell="F8" sqref="F8"/>
      <pageMargins left="0" right="0" top="0" bottom="0" header="0.51181102362204722" footer="0.51181102362204722"/>
      <printOptions horizontalCentered="1"/>
      <pageSetup paperSize="9" scale="101" orientation="landscape" r:id="rId1"/>
      <headerFooter alignWithMargins="0"/>
    </customSheetView>
  </customSheetViews>
  <phoneticPr fontId="7" type="noConversion"/>
  <printOptions horizontalCentered="1"/>
  <pageMargins left="0.23622047244094491" right="0.23622047244094491" top="0.74803149606299213" bottom="0.74803149606299213" header="0.31496062992125984" footer="0.31496062992125984"/>
  <pageSetup paperSize="9"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49"/>
    <pageSetUpPr fitToPage="1"/>
  </sheetPr>
  <dimension ref="A1:K255"/>
  <sheetViews>
    <sheetView zoomScaleNormal="100" workbookViewId="0">
      <selection activeCell="J42" sqref="J42"/>
    </sheetView>
  </sheetViews>
  <sheetFormatPr defaultRowHeight="14" x14ac:dyDescent="0.25"/>
  <cols>
    <col min="1" max="1" width="5.26953125" style="1" customWidth="1"/>
    <col min="2" max="2" width="30.1796875" style="277" customWidth="1"/>
    <col min="3" max="3" width="42" customWidth="1"/>
    <col min="4" max="4" width="7.7265625" style="4" customWidth="1"/>
    <col min="5" max="5" width="8.453125" style="3" customWidth="1"/>
    <col min="6" max="6" width="10.54296875" style="2" hidden="1" customWidth="1"/>
    <col min="7" max="7" width="9.7265625" style="2" hidden="1" customWidth="1"/>
    <col min="8" max="8" width="8.7265625" hidden="1" customWidth="1"/>
    <col min="9" max="9" width="9.26953125" style="154" hidden="1" customWidth="1"/>
    <col min="10" max="10" width="11" style="81" customWidth="1"/>
    <col min="11" max="11" width="52.90625" style="81" customWidth="1"/>
    <col min="12" max="12" width="9.26953125" customWidth="1"/>
  </cols>
  <sheetData>
    <row r="1" spans="1:11" ht="28" customHeight="1" thickBot="1" x14ac:dyDescent="0.3">
      <c r="A1" s="560" t="s">
        <v>15</v>
      </c>
      <c r="B1" s="561"/>
      <c r="C1" s="561"/>
      <c r="D1" s="561"/>
      <c r="E1" s="561"/>
      <c r="F1" s="561"/>
      <c r="G1" s="561"/>
      <c r="H1" s="561"/>
      <c r="I1" s="561"/>
      <c r="J1" s="561"/>
      <c r="K1" s="562"/>
    </row>
    <row r="2" spans="1:11" ht="26.15" customHeight="1" x14ac:dyDescent="0.3">
      <c r="A2" s="568" t="s">
        <v>101</v>
      </c>
      <c r="B2" s="571" t="s">
        <v>7</v>
      </c>
      <c r="C2" s="571" t="s">
        <v>12</v>
      </c>
      <c r="D2" s="177" t="s">
        <v>13</v>
      </c>
      <c r="E2" s="583" t="s">
        <v>19</v>
      </c>
      <c r="F2" s="577" t="s">
        <v>58</v>
      </c>
      <c r="G2" s="577" t="s">
        <v>263</v>
      </c>
      <c r="H2" s="580" t="s">
        <v>265</v>
      </c>
      <c r="I2" s="105"/>
      <c r="J2" s="574" t="s">
        <v>2</v>
      </c>
      <c r="K2" s="574" t="s">
        <v>28</v>
      </c>
    </row>
    <row r="3" spans="1:11" ht="13" x14ac:dyDescent="0.3">
      <c r="A3" s="569"/>
      <c r="B3" s="572"/>
      <c r="C3" s="572"/>
      <c r="D3" s="178" t="s">
        <v>24</v>
      </c>
      <c r="E3" s="584"/>
      <c r="F3" s="578"/>
      <c r="G3" s="578"/>
      <c r="H3" s="581"/>
      <c r="I3" s="96"/>
      <c r="J3" s="575"/>
      <c r="K3" s="575"/>
    </row>
    <row r="4" spans="1:11" ht="13.5" thickBot="1" x14ac:dyDescent="0.35">
      <c r="A4" s="570"/>
      <c r="B4" s="573"/>
      <c r="C4" s="573"/>
      <c r="D4" s="471" t="s">
        <v>25</v>
      </c>
      <c r="E4" s="585"/>
      <c r="F4" s="579"/>
      <c r="G4" s="579"/>
      <c r="H4" s="582"/>
      <c r="I4" s="106"/>
      <c r="J4" s="576"/>
      <c r="K4" s="576"/>
    </row>
    <row r="5" spans="1:11" ht="4.5" customHeight="1" thickBot="1" x14ac:dyDescent="0.35">
      <c r="A5" s="441"/>
      <c r="B5" s="469"/>
      <c r="C5" s="470"/>
      <c r="D5" s="471"/>
      <c r="E5" s="472"/>
      <c r="F5" s="473"/>
      <c r="G5" s="473"/>
      <c r="H5" s="474"/>
      <c r="I5" s="458"/>
      <c r="J5" s="475"/>
      <c r="K5" s="476"/>
    </row>
    <row r="6" spans="1:11" ht="51" customHeight="1" thickBot="1" x14ac:dyDescent="0.3">
      <c r="A6" s="542" t="s">
        <v>41</v>
      </c>
      <c r="B6" s="566" t="s">
        <v>42</v>
      </c>
      <c r="C6" s="461" t="s">
        <v>294</v>
      </c>
      <c r="D6" s="462" t="s">
        <v>14</v>
      </c>
      <c r="E6" s="463" t="s">
        <v>23</v>
      </c>
      <c r="F6" s="464">
        <v>1000</v>
      </c>
      <c r="G6" s="465" t="s">
        <v>323</v>
      </c>
      <c r="H6" s="466"/>
      <c r="I6" s="467" t="s">
        <v>140</v>
      </c>
      <c r="J6" s="425" t="s">
        <v>40</v>
      </c>
      <c r="K6" s="297" t="s">
        <v>459</v>
      </c>
    </row>
    <row r="7" spans="1:11" ht="32" thickBot="1" x14ac:dyDescent="0.3">
      <c r="A7" s="542"/>
      <c r="B7" s="567"/>
      <c r="C7" s="52" t="s">
        <v>284</v>
      </c>
      <c r="D7" s="53" t="s">
        <v>9</v>
      </c>
      <c r="E7" s="317" t="s">
        <v>232</v>
      </c>
      <c r="F7" s="55">
        <v>600</v>
      </c>
      <c r="G7" s="318" t="s">
        <v>323</v>
      </c>
      <c r="H7" s="95"/>
      <c r="I7" s="316" t="s">
        <v>140</v>
      </c>
      <c r="J7" s="72" t="s">
        <v>4</v>
      </c>
      <c r="K7" s="249" t="s">
        <v>460</v>
      </c>
    </row>
    <row r="8" spans="1:11" ht="43" customHeight="1" thickBot="1" x14ac:dyDescent="0.3">
      <c r="A8" s="542"/>
      <c r="B8" s="314" t="s">
        <v>44</v>
      </c>
      <c r="C8" s="563" t="s">
        <v>211</v>
      </c>
      <c r="D8" s="564"/>
      <c r="E8" s="564"/>
      <c r="F8" s="564"/>
      <c r="G8" s="564"/>
      <c r="H8" s="565"/>
      <c r="I8" s="213"/>
      <c r="J8" s="225"/>
      <c r="K8" s="237"/>
    </row>
    <row r="9" spans="1:11" ht="45" customHeight="1" thickBot="1" x14ac:dyDescent="0.3">
      <c r="A9" s="542"/>
      <c r="B9" s="273" t="s">
        <v>155</v>
      </c>
      <c r="C9" s="179" t="s">
        <v>264</v>
      </c>
      <c r="D9" s="180" t="s">
        <v>17</v>
      </c>
      <c r="E9" s="45" t="s">
        <v>295</v>
      </c>
      <c r="F9" s="40">
        <v>500</v>
      </c>
      <c r="G9" s="40"/>
      <c r="H9" s="41"/>
      <c r="I9" s="308" t="s">
        <v>270</v>
      </c>
      <c r="J9" s="544" t="s">
        <v>4</v>
      </c>
      <c r="K9" s="546" t="s">
        <v>417</v>
      </c>
    </row>
    <row r="10" spans="1:11" ht="45" customHeight="1" thickBot="1" x14ac:dyDescent="0.3">
      <c r="A10" s="542"/>
      <c r="B10" s="274" t="s">
        <v>43</v>
      </c>
      <c r="C10" s="551" t="s">
        <v>324</v>
      </c>
      <c r="D10" s="552"/>
      <c r="E10" s="552"/>
      <c r="F10" s="552"/>
      <c r="G10" s="552"/>
      <c r="H10" s="553"/>
      <c r="I10" s="207"/>
      <c r="J10" s="545"/>
      <c r="K10" s="547"/>
    </row>
    <row r="11" spans="1:11" ht="122.5" customHeight="1" thickBot="1" x14ac:dyDescent="0.3">
      <c r="A11" s="542"/>
      <c r="B11" s="273" t="s">
        <v>45</v>
      </c>
      <c r="C11" s="179" t="s">
        <v>306</v>
      </c>
      <c r="D11" s="180" t="s">
        <v>296</v>
      </c>
      <c r="E11" s="45" t="s">
        <v>254</v>
      </c>
      <c r="F11" s="40"/>
      <c r="G11" s="40"/>
      <c r="H11" s="41"/>
      <c r="I11" s="210"/>
      <c r="J11" s="433" t="s">
        <v>3</v>
      </c>
      <c r="K11" s="246" t="s">
        <v>416</v>
      </c>
    </row>
    <row r="12" spans="1:11" ht="43.5" customHeight="1" x14ac:dyDescent="0.25">
      <c r="A12" s="541" t="s">
        <v>46</v>
      </c>
      <c r="B12" s="556" t="s">
        <v>47</v>
      </c>
      <c r="C12" s="122" t="s">
        <v>151</v>
      </c>
      <c r="D12" s="113" t="s">
        <v>152</v>
      </c>
      <c r="E12" s="123" t="s">
        <v>153</v>
      </c>
      <c r="F12" s="124"/>
      <c r="G12" s="125"/>
      <c r="H12" s="126"/>
      <c r="I12" s="248"/>
      <c r="J12" s="222" t="s">
        <v>3</v>
      </c>
      <c r="K12" s="246" t="s">
        <v>512</v>
      </c>
    </row>
    <row r="13" spans="1:11" ht="44" thickBot="1" x14ac:dyDescent="0.3">
      <c r="A13" s="543"/>
      <c r="B13" s="557"/>
      <c r="C13" s="118" t="s">
        <v>205</v>
      </c>
      <c r="D13" s="114" t="s">
        <v>152</v>
      </c>
      <c r="E13" s="119" t="s">
        <v>154</v>
      </c>
      <c r="F13" s="127"/>
      <c r="G13" s="120"/>
      <c r="H13" s="121"/>
      <c r="I13" s="250"/>
      <c r="J13" s="212" t="s">
        <v>3</v>
      </c>
      <c r="K13" s="249" t="s">
        <v>418</v>
      </c>
    </row>
    <row r="14" spans="1:11" ht="44" thickBot="1" x14ac:dyDescent="0.3">
      <c r="A14" s="541" t="s">
        <v>46</v>
      </c>
      <c r="B14" s="276" t="s">
        <v>48</v>
      </c>
      <c r="C14" s="493" t="s">
        <v>279</v>
      </c>
      <c r="D14" s="494" t="s">
        <v>17</v>
      </c>
      <c r="E14" s="45" t="s">
        <v>25</v>
      </c>
      <c r="F14" s="40"/>
      <c r="G14" s="495"/>
      <c r="H14" s="496" t="s">
        <v>300</v>
      </c>
      <c r="I14" s="251"/>
      <c r="J14" s="186" t="s">
        <v>4</v>
      </c>
      <c r="K14" s="237" t="s">
        <v>419</v>
      </c>
    </row>
    <row r="15" spans="1:11" ht="45" customHeight="1" thickBot="1" x14ac:dyDescent="0.3">
      <c r="A15" s="542"/>
      <c r="B15" s="274" t="s">
        <v>49</v>
      </c>
      <c r="C15" s="551" t="s">
        <v>211</v>
      </c>
      <c r="D15" s="552"/>
      <c r="E15" s="552"/>
      <c r="F15" s="552"/>
      <c r="G15" s="552"/>
      <c r="H15" s="553"/>
      <c r="I15" s="252"/>
      <c r="J15" s="225"/>
      <c r="K15" s="237"/>
    </row>
    <row r="16" spans="1:11" ht="45" customHeight="1" thickBot="1" x14ac:dyDescent="0.3">
      <c r="A16" s="542"/>
      <c r="B16" s="276" t="s">
        <v>50</v>
      </c>
      <c r="C16" s="548" t="s">
        <v>211</v>
      </c>
      <c r="D16" s="549"/>
      <c r="E16" s="549"/>
      <c r="F16" s="549"/>
      <c r="G16" s="549"/>
      <c r="H16" s="550"/>
      <c r="I16" s="213"/>
      <c r="J16" s="225"/>
      <c r="K16" s="237"/>
    </row>
    <row r="17" spans="1:11" ht="45" customHeight="1" thickBot="1" x14ac:dyDescent="0.3">
      <c r="A17" s="542"/>
      <c r="B17" s="274" t="s">
        <v>51</v>
      </c>
      <c r="C17" s="551" t="s">
        <v>325</v>
      </c>
      <c r="D17" s="552"/>
      <c r="E17" s="552"/>
      <c r="F17" s="552"/>
      <c r="G17" s="552"/>
      <c r="H17" s="553"/>
      <c r="I17" s="252"/>
      <c r="J17" s="225"/>
      <c r="K17" s="237"/>
    </row>
    <row r="18" spans="1:11" ht="45" customHeight="1" thickBot="1" x14ac:dyDescent="0.3">
      <c r="A18" s="543"/>
      <c r="B18" s="276" t="s">
        <v>56</v>
      </c>
      <c r="C18" s="548" t="s">
        <v>211</v>
      </c>
      <c r="D18" s="549"/>
      <c r="E18" s="549"/>
      <c r="F18" s="549"/>
      <c r="G18" s="549"/>
      <c r="H18" s="550"/>
      <c r="I18" s="251"/>
      <c r="J18" s="225"/>
      <c r="K18" s="237"/>
    </row>
    <row r="19" spans="1:11" ht="44" customHeight="1" thickBot="1" x14ac:dyDescent="0.3">
      <c r="A19" s="541" t="s">
        <v>57</v>
      </c>
      <c r="B19" s="556" t="s">
        <v>52</v>
      </c>
      <c r="C19" s="57" t="s">
        <v>285</v>
      </c>
      <c r="D19" s="12" t="s">
        <v>14</v>
      </c>
      <c r="E19" s="24" t="s">
        <v>232</v>
      </c>
      <c r="F19" s="43">
        <v>500</v>
      </c>
      <c r="G19" s="319" t="s">
        <v>323</v>
      </c>
      <c r="H19" s="23"/>
      <c r="I19" s="321" t="s">
        <v>140</v>
      </c>
      <c r="J19" s="34" t="s">
        <v>4</v>
      </c>
      <c r="K19" s="246" t="s">
        <v>461</v>
      </c>
    </row>
    <row r="20" spans="1:11" ht="43.5" x14ac:dyDescent="0.25">
      <c r="A20" s="542"/>
      <c r="B20" s="559"/>
      <c r="C20" s="108" t="s">
        <v>297</v>
      </c>
      <c r="D20" s="109" t="s">
        <v>14</v>
      </c>
      <c r="E20" s="110" t="s">
        <v>232</v>
      </c>
      <c r="F20" s="15">
        <v>1200</v>
      </c>
      <c r="G20" s="320" t="s">
        <v>323</v>
      </c>
      <c r="H20" s="324"/>
      <c r="I20" s="322" t="s">
        <v>270</v>
      </c>
      <c r="J20" s="204" t="s">
        <v>4</v>
      </c>
      <c r="K20" s="297" t="s">
        <v>461</v>
      </c>
    </row>
    <row r="21" spans="1:11" ht="24" x14ac:dyDescent="0.25">
      <c r="A21" s="542"/>
      <c r="B21" s="559"/>
      <c r="C21" s="10" t="s">
        <v>286</v>
      </c>
      <c r="D21" s="14" t="s">
        <v>14</v>
      </c>
      <c r="E21" s="25" t="s">
        <v>21</v>
      </c>
      <c r="F21" s="36">
        <v>3500</v>
      </c>
      <c r="G21" s="36"/>
      <c r="H21" s="21"/>
      <c r="I21" s="323" t="s">
        <v>140</v>
      </c>
      <c r="J21" s="104" t="s">
        <v>3</v>
      </c>
      <c r="K21" s="220" t="s">
        <v>544</v>
      </c>
    </row>
    <row r="22" spans="1:11" ht="29" x14ac:dyDescent="0.25">
      <c r="A22" s="542"/>
      <c r="B22" s="559"/>
      <c r="C22" s="10" t="s">
        <v>234</v>
      </c>
      <c r="D22" s="14" t="s">
        <v>145</v>
      </c>
      <c r="E22" s="25" t="s">
        <v>233</v>
      </c>
      <c r="F22" s="36">
        <f>2755.7+5364.4+486.6+946.7</f>
        <v>9553.4</v>
      </c>
      <c r="G22" s="36"/>
      <c r="H22" s="21"/>
      <c r="I22" s="323"/>
      <c r="J22" s="104" t="s">
        <v>3</v>
      </c>
      <c r="K22" s="220" t="s">
        <v>507</v>
      </c>
    </row>
    <row r="23" spans="1:11" ht="29" x14ac:dyDescent="0.25">
      <c r="A23" s="542"/>
      <c r="B23" s="559"/>
      <c r="C23" s="10" t="s">
        <v>405</v>
      </c>
      <c r="D23" s="14" t="s">
        <v>14</v>
      </c>
      <c r="E23" s="25" t="s">
        <v>21</v>
      </c>
      <c r="F23" s="36">
        <v>200</v>
      </c>
      <c r="G23" s="36"/>
      <c r="H23" s="21"/>
      <c r="I23" s="497"/>
      <c r="J23" s="104" t="s">
        <v>3</v>
      </c>
      <c r="K23" s="220" t="s">
        <v>544</v>
      </c>
    </row>
    <row r="24" spans="1:11" ht="58" x14ac:dyDescent="0.25">
      <c r="A24" s="542"/>
      <c r="B24" s="559"/>
      <c r="C24" s="10" t="s">
        <v>399</v>
      </c>
      <c r="D24" s="14" t="s">
        <v>14</v>
      </c>
      <c r="E24" s="25" t="s">
        <v>25</v>
      </c>
      <c r="F24" s="36">
        <v>6400</v>
      </c>
      <c r="G24" s="36"/>
      <c r="H24" s="21"/>
      <c r="J24" s="204" t="s">
        <v>4</v>
      </c>
      <c r="K24" s="220" t="s">
        <v>462</v>
      </c>
    </row>
    <row r="25" spans="1:11" ht="29.5" thickBot="1" x14ac:dyDescent="0.3">
      <c r="A25" s="543"/>
      <c r="B25" s="557"/>
      <c r="C25" s="82" t="s">
        <v>287</v>
      </c>
      <c r="D25" s="60" t="s">
        <v>14</v>
      </c>
      <c r="E25" s="61" t="s">
        <v>21</v>
      </c>
      <c r="F25" s="37">
        <v>8300</v>
      </c>
      <c r="G25" s="37"/>
      <c r="H25" s="38"/>
      <c r="I25" s="316" t="s">
        <v>140</v>
      </c>
      <c r="J25" s="498" t="s">
        <v>3</v>
      </c>
      <c r="K25" s="249" t="s">
        <v>544</v>
      </c>
    </row>
    <row r="26" spans="1:11" ht="43.5" customHeight="1" x14ac:dyDescent="0.25">
      <c r="A26" s="541" t="s">
        <v>57</v>
      </c>
      <c r="B26" s="554" t="s">
        <v>53</v>
      </c>
      <c r="C26" s="48" t="s">
        <v>326</v>
      </c>
      <c r="D26" s="49" t="s">
        <v>27</v>
      </c>
      <c r="E26" s="45" t="s">
        <v>143</v>
      </c>
      <c r="F26" s="40">
        <v>2600</v>
      </c>
      <c r="G26" s="42">
        <v>2900</v>
      </c>
      <c r="H26" s="128" t="s">
        <v>280</v>
      </c>
      <c r="I26" s="309" t="s">
        <v>140</v>
      </c>
      <c r="J26" s="222" t="s">
        <v>3</v>
      </c>
      <c r="K26" s="246" t="s">
        <v>524</v>
      </c>
    </row>
    <row r="27" spans="1:11" ht="72.5" x14ac:dyDescent="0.25">
      <c r="A27" s="542"/>
      <c r="B27" s="558"/>
      <c r="C27" s="51" t="s">
        <v>144</v>
      </c>
      <c r="D27" s="50" t="s">
        <v>145</v>
      </c>
      <c r="E27" s="46" t="s">
        <v>146</v>
      </c>
      <c r="F27" s="147"/>
      <c r="G27" s="148"/>
      <c r="H27" s="150" t="s">
        <v>280</v>
      </c>
      <c r="I27" s="152"/>
      <c r="J27" s="104" t="s">
        <v>3</v>
      </c>
      <c r="K27" s="220" t="s">
        <v>505</v>
      </c>
    </row>
    <row r="28" spans="1:11" ht="72.5" x14ac:dyDescent="0.25">
      <c r="A28" s="542"/>
      <c r="B28" s="558"/>
      <c r="C28" s="51" t="s">
        <v>207</v>
      </c>
      <c r="D28" s="50" t="s">
        <v>27</v>
      </c>
      <c r="E28" s="46" t="s">
        <v>21</v>
      </c>
      <c r="F28" s="147"/>
      <c r="G28" s="148"/>
      <c r="H28" s="149" t="s">
        <v>280</v>
      </c>
      <c r="I28" s="152"/>
      <c r="J28" s="104" t="s">
        <v>3</v>
      </c>
      <c r="K28" s="220" t="s">
        <v>226</v>
      </c>
    </row>
    <row r="29" spans="1:11" ht="72.5" x14ac:dyDescent="0.25">
      <c r="A29" s="542"/>
      <c r="B29" s="558"/>
      <c r="C29" s="51" t="s">
        <v>147</v>
      </c>
      <c r="D29" s="50" t="s">
        <v>148</v>
      </c>
      <c r="E29" s="46" t="s">
        <v>149</v>
      </c>
      <c r="F29" s="147"/>
      <c r="G29" s="148"/>
      <c r="H29" s="149"/>
      <c r="I29" s="152"/>
      <c r="J29" s="104" t="s">
        <v>3</v>
      </c>
      <c r="K29" s="220" t="s">
        <v>504</v>
      </c>
    </row>
    <row r="30" spans="1:11" ht="87.5" thickBot="1" x14ac:dyDescent="0.3">
      <c r="A30" s="542"/>
      <c r="B30" s="555"/>
      <c r="C30" s="52" t="s">
        <v>206</v>
      </c>
      <c r="D30" s="53" t="s">
        <v>27</v>
      </c>
      <c r="E30" s="54" t="s">
        <v>150</v>
      </c>
      <c r="F30" s="55"/>
      <c r="G30" s="55"/>
      <c r="H30" s="95"/>
      <c r="I30" s="250"/>
      <c r="J30" s="212" t="s">
        <v>3</v>
      </c>
      <c r="K30" s="249" t="s">
        <v>513</v>
      </c>
    </row>
    <row r="31" spans="1:11" ht="58.5" customHeight="1" thickBot="1" x14ac:dyDescent="0.3">
      <c r="A31" s="542"/>
      <c r="B31" s="274" t="s">
        <v>54</v>
      </c>
      <c r="C31" s="551" t="s">
        <v>204</v>
      </c>
      <c r="D31" s="552"/>
      <c r="E31" s="552"/>
      <c r="F31" s="552"/>
      <c r="G31" s="552"/>
      <c r="H31" s="553"/>
      <c r="I31" s="252"/>
      <c r="J31" s="225"/>
      <c r="K31" s="237" t="s">
        <v>525</v>
      </c>
    </row>
    <row r="32" spans="1:11" ht="29" x14ac:dyDescent="0.25">
      <c r="A32" s="542"/>
      <c r="B32" s="554" t="s">
        <v>55</v>
      </c>
      <c r="C32" s="48" t="s">
        <v>158</v>
      </c>
      <c r="D32" s="49" t="s">
        <v>17</v>
      </c>
      <c r="E32" s="45" t="s">
        <v>21</v>
      </c>
      <c r="F32" s="40"/>
      <c r="G32" s="42"/>
      <c r="H32" s="128" t="s">
        <v>280</v>
      </c>
      <c r="I32" s="248"/>
      <c r="J32" s="222" t="s">
        <v>3</v>
      </c>
      <c r="K32" s="246" t="s">
        <v>506</v>
      </c>
    </row>
    <row r="33" spans="1:11" ht="29.5" thickBot="1" x14ac:dyDescent="0.3">
      <c r="A33" s="543"/>
      <c r="B33" s="555"/>
      <c r="C33" s="179" t="s">
        <v>203</v>
      </c>
      <c r="D33" s="180" t="s">
        <v>202</v>
      </c>
      <c r="E33" s="181" t="s">
        <v>21</v>
      </c>
      <c r="F33" s="182"/>
      <c r="G33" s="183"/>
      <c r="H33" s="184"/>
      <c r="I33" s="250"/>
      <c r="J33" s="212" t="s">
        <v>3</v>
      </c>
      <c r="K33" s="249" t="s">
        <v>227</v>
      </c>
    </row>
    <row r="34" spans="1:11" x14ac:dyDescent="0.3">
      <c r="E34" s="28"/>
      <c r="K34" s="247"/>
    </row>
    <row r="35" spans="1:11" x14ac:dyDescent="0.25">
      <c r="B35" s="277" t="s">
        <v>298</v>
      </c>
      <c r="E35" s="28"/>
      <c r="F35" s="2">
        <f>SUM(F32:F33,F19:F30,F11:F14,F9,F6:F7)</f>
        <v>34353.4</v>
      </c>
      <c r="G35" s="2">
        <f>SUM(G32:G33,G19:G30,G11:G14,G9,G6:G7)</f>
        <v>2900</v>
      </c>
    </row>
    <row r="36" spans="1:11" ht="28" x14ac:dyDescent="0.25">
      <c r="B36" s="277" t="s">
        <v>299</v>
      </c>
      <c r="E36" s="28"/>
    </row>
    <row r="37" spans="1:11" x14ac:dyDescent="0.25">
      <c r="E37" s="28"/>
    </row>
    <row r="38" spans="1:11" x14ac:dyDescent="0.25">
      <c r="E38" s="28"/>
    </row>
    <row r="39" spans="1:11" x14ac:dyDescent="0.25">
      <c r="E39" s="28"/>
    </row>
    <row r="40" spans="1:11" x14ac:dyDescent="0.25">
      <c r="E40" s="28"/>
    </row>
    <row r="41" spans="1:11" x14ac:dyDescent="0.25">
      <c r="E41" s="28"/>
    </row>
    <row r="42" spans="1:11" x14ac:dyDescent="0.25">
      <c r="E42" s="28"/>
    </row>
    <row r="43" spans="1:11" x14ac:dyDescent="0.25">
      <c r="E43" s="28"/>
    </row>
    <row r="44" spans="1:11" x14ac:dyDescent="0.25">
      <c r="E44" s="28"/>
    </row>
    <row r="45" spans="1:11" x14ac:dyDescent="0.25">
      <c r="E45" s="28"/>
    </row>
    <row r="46" spans="1:11" x14ac:dyDescent="0.25">
      <c r="E46" s="28"/>
    </row>
    <row r="47" spans="1:11" x14ac:dyDescent="0.25">
      <c r="E47" s="28"/>
    </row>
    <row r="48" spans="1:11" x14ac:dyDescent="0.25">
      <c r="E48" s="28"/>
    </row>
    <row r="49" spans="5:5" x14ac:dyDescent="0.25">
      <c r="E49" s="28"/>
    </row>
    <row r="50" spans="5:5" x14ac:dyDescent="0.25">
      <c r="E50" s="28"/>
    </row>
    <row r="51" spans="5:5" x14ac:dyDescent="0.25">
      <c r="E51" s="28"/>
    </row>
    <row r="52" spans="5:5" x14ac:dyDescent="0.25">
      <c r="E52" s="28"/>
    </row>
    <row r="53" spans="5:5" x14ac:dyDescent="0.25">
      <c r="E53" s="28"/>
    </row>
    <row r="54" spans="5:5" x14ac:dyDescent="0.25">
      <c r="E54" s="28"/>
    </row>
    <row r="55" spans="5:5" x14ac:dyDescent="0.25">
      <c r="E55" s="28"/>
    </row>
    <row r="56" spans="5:5" x14ac:dyDescent="0.25">
      <c r="E56" s="28"/>
    </row>
    <row r="57" spans="5:5" x14ac:dyDescent="0.25">
      <c r="E57" s="28"/>
    </row>
    <row r="58" spans="5:5" x14ac:dyDescent="0.25">
      <c r="E58" s="28"/>
    </row>
    <row r="59" spans="5:5" x14ac:dyDescent="0.25">
      <c r="E59" s="28"/>
    </row>
    <row r="60" spans="5:5" x14ac:dyDescent="0.25">
      <c r="E60" s="28"/>
    </row>
    <row r="61" spans="5:5" x14ac:dyDescent="0.25">
      <c r="E61" s="28"/>
    </row>
    <row r="62" spans="5:5" x14ac:dyDescent="0.25">
      <c r="E62" s="28"/>
    </row>
    <row r="63" spans="5:5" x14ac:dyDescent="0.25">
      <c r="E63" s="28"/>
    </row>
    <row r="64" spans="5:5" x14ac:dyDescent="0.25">
      <c r="E64" s="28"/>
    </row>
    <row r="65" spans="5:5" x14ac:dyDescent="0.25">
      <c r="E65" s="28"/>
    </row>
    <row r="66" spans="5:5" x14ac:dyDescent="0.25">
      <c r="E66" s="28"/>
    </row>
    <row r="67" spans="5:5" x14ac:dyDescent="0.25">
      <c r="E67" s="28"/>
    </row>
    <row r="68" spans="5:5" x14ac:dyDescent="0.25">
      <c r="E68" s="28"/>
    </row>
    <row r="69" spans="5:5" x14ac:dyDescent="0.25">
      <c r="E69" s="28"/>
    </row>
    <row r="70" spans="5:5" x14ac:dyDescent="0.25">
      <c r="E70" s="28"/>
    </row>
    <row r="71" spans="5:5" x14ac:dyDescent="0.25">
      <c r="E71" s="28"/>
    </row>
    <row r="72" spans="5:5" x14ac:dyDescent="0.25">
      <c r="E72" s="28"/>
    </row>
    <row r="73" spans="5:5" x14ac:dyDescent="0.25">
      <c r="E73" s="28"/>
    </row>
    <row r="74" spans="5:5" x14ac:dyDescent="0.25">
      <c r="E74" s="28"/>
    </row>
    <row r="75" spans="5:5" x14ac:dyDescent="0.25">
      <c r="E75" s="28"/>
    </row>
    <row r="76" spans="5:5" x14ac:dyDescent="0.25">
      <c r="E76" s="28"/>
    </row>
    <row r="77" spans="5:5" x14ac:dyDescent="0.25">
      <c r="E77" s="28"/>
    </row>
    <row r="78" spans="5:5" x14ac:dyDescent="0.25">
      <c r="E78" s="28"/>
    </row>
    <row r="79" spans="5:5" x14ac:dyDescent="0.25">
      <c r="E79" s="28"/>
    </row>
    <row r="80" spans="5:5" x14ac:dyDescent="0.25">
      <c r="E80" s="28"/>
    </row>
    <row r="81" spans="5:5" x14ac:dyDescent="0.25">
      <c r="E81" s="28"/>
    </row>
    <row r="82" spans="5:5" x14ac:dyDescent="0.25">
      <c r="E82" s="28"/>
    </row>
    <row r="83" spans="5:5" x14ac:dyDescent="0.25">
      <c r="E83" s="28"/>
    </row>
    <row r="84" spans="5:5" x14ac:dyDescent="0.25">
      <c r="E84" s="28"/>
    </row>
    <row r="85" spans="5:5" x14ac:dyDescent="0.25">
      <c r="E85" s="28"/>
    </row>
    <row r="86" spans="5:5" x14ac:dyDescent="0.25">
      <c r="E86" s="28"/>
    </row>
    <row r="87" spans="5:5" x14ac:dyDescent="0.25">
      <c r="E87" s="28"/>
    </row>
    <row r="88" spans="5:5" x14ac:dyDescent="0.25">
      <c r="E88" s="28"/>
    </row>
    <row r="89" spans="5:5" x14ac:dyDescent="0.25">
      <c r="E89" s="28"/>
    </row>
    <row r="90" spans="5:5" x14ac:dyDescent="0.25">
      <c r="E90" s="28"/>
    </row>
    <row r="91" spans="5:5" x14ac:dyDescent="0.25">
      <c r="E91" s="28"/>
    </row>
    <row r="92" spans="5:5" x14ac:dyDescent="0.25">
      <c r="E92" s="28"/>
    </row>
    <row r="93" spans="5:5" x14ac:dyDescent="0.25">
      <c r="E93" s="28"/>
    </row>
    <row r="94" spans="5:5" x14ac:dyDescent="0.25">
      <c r="E94" s="28"/>
    </row>
    <row r="95" spans="5:5" x14ac:dyDescent="0.25">
      <c r="E95" s="28"/>
    </row>
    <row r="96" spans="5:5" x14ac:dyDescent="0.25">
      <c r="E96" s="28"/>
    </row>
    <row r="97" spans="5:5" x14ac:dyDescent="0.25">
      <c r="E97" s="28"/>
    </row>
    <row r="98" spans="5:5" x14ac:dyDescent="0.25">
      <c r="E98" s="28"/>
    </row>
    <row r="99" spans="5:5" x14ac:dyDescent="0.25">
      <c r="E99" s="28"/>
    </row>
    <row r="100" spans="5:5" x14ac:dyDescent="0.25">
      <c r="E100" s="28"/>
    </row>
    <row r="101" spans="5:5" x14ac:dyDescent="0.25">
      <c r="E101" s="28"/>
    </row>
    <row r="102" spans="5:5" x14ac:dyDescent="0.25">
      <c r="E102" s="28"/>
    </row>
    <row r="103" spans="5:5" x14ac:dyDescent="0.25">
      <c r="E103" s="28"/>
    </row>
    <row r="104" spans="5:5" x14ac:dyDescent="0.25">
      <c r="E104" s="28"/>
    </row>
    <row r="105" spans="5:5" x14ac:dyDescent="0.25">
      <c r="E105" s="28"/>
    </row>
    <row r="106" spans="5:5" x14ac:dyDescent="0.25">
      <c r="E106" s="28"/>
    </row>
    <row r="107" spans="5:5" x14ac:dyDescent="0.25">
      <c r="E107" s="28"/>
    </row>
    <row r="108" spans="5:5" x14ac:dyDescent="0.25">
      <c r="E108" s="28"/>
    </row>
    <row r="109" spans="5:5" x14ac:dyDescent="0.25">
      <c r="E109" s="28"/>
    </row>
    <row r="110" spans="5:5" x14ac:dyDescent="0.25">
      <c r="E110" s="28"/>
    </row>
    <row r="111" spans="5:5" x14ac:dyDescent="0.25">
      <c r="E111" s="28"/>
    </row>
    <row r="112" spans="5:5" x14ac:dyDescent="0.25">
      <c r="E112" s="28"/>
    </row>
    <row r="113" spans="5:5" x14ac:dyDescent="0.25">
      <c r="E113" s="28"/>
    </row>
    <row r="114" spans="5:5" x14ac:dyDescent="0.25">
      <c r="E114" s="28"/>
    </row>
    <row r="115" spans="5:5" x14ac:dyDescent="0.25">
      <c r="E115" s="28"/>
    </row>
    <row r="116" spans="5:5" x14ac:dyDescent="0.25">
      <c r="E116" s="28"/>
    </row>
    <row r="117" spans="5:5" x14ac:dyDescent="0.25">
      <c r="E117" s="28"/>
    </row>
    <row r="118" spans="5:5" x14ac:dyDescent="0.25">
      <c r="E118" s="28"/>
    </row>
    <row r="119" spans="5:5" x14ac:dyDescent="0.25">
      <c r="E119" s="28"/>
    </row>
    <row r="120" spans="5:5" x14ac:dyDescent="0.25">
      <c r="E120" s="28"/>
    </row>
    <row r="121" spans="5:5" x14ac:dyDescent="0.25">
      <c r="E121" s="28"/>
    </row>
    <row r="122" spans="5:5" x14ac:dyDescent="0.25">
      <c r="E122" s="28"/>
    </row>
    <row r="123" spans="5:5" x14ac:dyDescent="0.25">
      <c r="E123" s="28"/>
    </row>
    <row r="124" spans="5:5" x14ac:dyDescent="0.25">
      <c r="E124" s="28"/>
    </row>
    <row r="125" spans="5:5" x14ac:dyDescent="0.25">
      <c r="E125" s="28"/>
    </row>
    <row r="126" spans="5:5" x14ac:dyDescent="0.25">
      <c r="E126" s="28"/>
    </row>
    <row r="127" spans="5:5" x14ac:dyDescent="0.25">
      <c r="E127" s="28"/>
    </row>
    <row r="128" spans="5:5" x14ac:dyDescent="0.25">
      <c r="E128" s="28"/>
    </row>
    <row r="129" spans="5:5" x14ac:dyDescent="0.25">
      <c r="E129" s="28"/>
    </row>
    <row r="130" spans="5:5" x14ac:dyDescent="0.25">
      <c r="E130" s="28"/>
    </row>
    <row r="131" spans="5:5" x14ac:dyDescent="0.25">
      <c r="E131" s="28"/>
    </row>
    <row r="132" spans="5:5" x14ac:dyDescent="0.25">
      <c r="E132" s="28"/>
    </row>
    <row r="133" spans="5:5" x14ac:dyDescent="0.25">
      <c r="E133" s="28"/>
    </row>
    <row r="134" spans="5:5" x14ac:dyDescent="0.25">
      <c r="E134" s="28"/>
    </row>
    <row r="135" spans="5:5" x14ac:dyDescent="0.25">
      <c r="E135" s="28"/>
    </row>
    <row r="136" spans="5:5" x14ac:dyDescent="0.25">
      <c r="E136" s="28"/>
    </row>
    <row r="137" spans="5:5" x14ac:dyDescent="0.25">
      <c r="E137" s="28"/>
    </row>
    <row r="138" spans="5:5" x14ac:dyDescent="0.25">
      <c r="E138" s="28"/>
    </row>
    <row r="139" spans="5:5" x14ac:dyDescent="0.25">
      <c r="E139" s="28"/>
    </row>
    <row r="140" spans="5:5" x14ac:dyDescent="0.25">
      <c r="E140" s="28"/>
    </row>
    <row r="141" spans="5:5" x14ac:dyDescent="0.25">
      <c r="E141" s="28"/>
    </row>
    <row r="142" spans="5:5" x14ac:dyDescent="0.25">
      <c r="E142" s="28"/>
    </row>
    <row r="143" spans="5:5" x14ac:dyDescent="0.25">
      <c r="E143" s="28"/>
    </row>
    <row r="144" spans="5:5" x14ac:dyDescent="0.25">
      <c r="E144" s="28"/>
    </row>
    <row r="145" spans="5:5" x14ac:dyDescent="0.25">
      <c r="E145" s="28"/>
    </row>
    <row r="146" spans="5:5" x14ac:dyDescent="0.25">
      <c r="E146" s="28"/>
    </row>
    <row r="147" spans="5:5" x14ac:dyDescent="0.25">
      <c r="E147" s="28"/>
    </row>
    <row r="148" spans="5:5" x14ac:dyDescent="0.25">
      <c r="E148" s="28"/>
    </row>
    <row r="149" spans="5:5" x14ac:dyDescent="0.25">
      <c r="E149" s="28"/>
    </row>
    <row r="150" spans="5:5" x14ac:dyDescent="0.25">
      <c r="E150" s="28"/>
    </row>
    <row r="151" spans="5:5" x14ac:dyDescent="0.25">
      <c r="E151" s="28"/>
    </row>
    <row r="152" spans="5:5" x14ac:dyDescent="0.25">
      <c r="E152" s="28"/>
    </row>
    <row r="153" spans="5:5" x14ac:dyDescent="0.25">
      <c r="E153" s="28"/>
    </row>
    <row r="154" spans="5:5" x14ac:dyDescent="0.25">
      <c r="E154" s="28"/>
    </row>
    <row r="155" spans="5:5" x14ac:dyDescent="0.25">
      <c r="E155" s="28"/>
    </row>
    <row r="156" spans="5:5" x14ac:dyDescent="0.25">
      <c r="E156" s="28"/>
    </row>
    <row r="157" spans="5:5" x14ac:dyDescent="0.25">
      <c r="E157" s="28"/>
    </row>
    <row r="158" spans="5:5" x14ac:dyDescent="0.25">
      <c r="E158" s="28"/>
    </row>
    <row r="159" spans="5:5" x14ac:dyDescent="0.25">
      <c r="E159" s="28"/>
    </row>
    <row r="160" spans="5:5" x14ac:dyDescent="0.25">
      <c r="E160" s="28"/>
    </row>
    <row r="161" spans="5:5" x14ac:dyDescent="0.25">
      <c r="E161" s="28"/>
    </row>
    <row r="162" spans="5:5" x14ac:dyDescent="0.25">
      <c r="E162" s="28"/>
    </row>
    <row r="163" spans="5:5" x14ac:dyDescent="0.25">
      <c r="E163" s="28"/>
    </row>
    <row r="164" spans="5:5" x14ac:dyDescent="0.25">
      <c r="E164" s="28"/>
    </row>
    <row r="165" spans="5:5" x14ac:dyDescent="0.25">
      <c r="E165" s="28"/>
    </row>
    <row r="166" spans="5:5" x14ac:dyDescent="0.25">
      <c r="E166" s="28"/>
    </row>
    <row r="167" spans="5:5" x14ac:dyDescent="0.25">
      <c r="E167" s="28"/>
    </row>
    <row r="168" spans="5:5" x14ac:dyDescent="0.25">
      <c r="E168" s="28"/>
    </row>
    <row r="169" spans="5:5" x14ac:dyDescent="0.25">
      <c r="E169" s="28"/>
    </row>
    <row r="170" spans="5:5" x14ac:dyDescent="0.25">
      <c r="E170" s="28"/>
    </row>
    <row r="171" spans="5:5" x14ac:dyDescent="0.25">
      <c r="E171" s="28"/>
    </row>
    <row r="172" spans="5:5" x14ac:dyDescent="0.25">
      <c r="E172" s="28"/>
    </row>
    <row r="173" spans="5:5" x14ac:dyDescent="0.25">
      <c r="E173" s="28"/>
    </row>
    <row r="174" spans="5:5" x14ac:dyDescent="0.25">
      <c r="E174" s="28"/>
    </row>
    <row r="175" spans="5:5" x14ac:dyDescent="0.25">
      <c r="E175" s="28"/>
    </row>
    <row r="176" spans="5:5" x14ac:dyDescent="0.25">
      <c r="E176" s="28"/>
    </row>
    <row r="177" spans="5:5" x14ac:dyDescent="0.25">
      <c r="E177" s="28"/>
    </row>
    <row r="178" spans="5:5" x14ac:dyDescent="0.25">
      <c r="E178" s="28"/>
    </row>
    <row r="179" spans="5:5" x14ac:dyDescent="0.25">
      <c r="E179" s="28"/>
    </row>
    <row r="180" spans="5:5" x14ac:dyDescent="0.25">
      <c r="E180" s="28"/>
    </row>
    <row r="181" spans="5:5" x14ac:dyDescent="0.25">
      <c r="E181" s="28"/>
    </row>
    <row r="182" spans="5:5" x14ac:dyDescent="0.25">
      <c r="E182" s="28"/>
    </row>
    <row r="183" spans="5:5" x14ac:dyDescent="0.25">
      <c r="E183" s="28"/>
    </row>
    <row r="184" spans="5:5" x14ac:dyDescent="0.25">
      <c r="E184" s="28"/>
    </row>
    <row r="185" spans="5:5" x14ac:dyDescent="0.25">
      <c r="E185" s="28"/>
    </row>
    <row r="186" spans="5:5" x14ac:dyDescent="0.25">
      <c r="E186" s="28"/>
    </row>
    <row r="187" spans="5:5" x14ac:dyDescent="0.25">
      <c r="E187" s="28"/>
    </row>
    <row r="188" spans="5:5" x14ac:dyDescent="0.25">
      <c r="E188" s="28"/>
    </row>
    <row r="189" spans="5:5" x14ac:dyDescent="0.25">
      <c r="E189" s="28"/>
    </row>
    <row r="190" spans="5:5" x14ac:dyDescent="0.25">
      <c r="E190" s="28"/>
    </row>
    <row r="191" spans="5:5" x14ac:dyDescent="0.25">
      <c r="E191" s="28"/>
    </row>
    <row r="192" spans="5:5" x14ac:dyDescent="0.25">
      <c r="E192" s="28"/>
    </row>
    <row r="193" spans="5:5" x14ac:dyDescent="0.25">
      <c r="E193" s="28"/>
    </row>
    <row r="194" spans="5:5" x14ac:dyDescent="0.25">
      <c r="E194" s="28"/>
    </row>
    <row r="195" spans="5:5" x14ac:dyDescent="0.25">
      <c r="E195" s="28"/>
    </row>
    <row r="196" spans="5:5" x14ac:dyDescent="0.25">
      <c r="E196" s="28"/>
    </row>
    <row r="197" spans="5:5" x14ac:dyDescent="0.25">
      <c r="E197" s="28"/>
    </row>
    <row r="198" spans="5:5" x14ac:dyDescent="0.25">
      <c r="E198" s="28"/>
    </row>
    <row r="199" spans="5:5" x14ac:dyDescent="0.25">
      <c r="E199" s="28"/>
    </row>
    <row r="200" spans="5:5" x14ac:dyDescent="0.25">
      <c r="E200" s="28"/>
    </row>
    <row r="201" spans="5:5" x14ac:dyDescent="0.25">
      <c r="E201" s="28"/>
    </row>
    <row r="202" spans="5:5" x14ac:dyDescent="0.25">
      <c r="E202" s="28"/>
    </row>
    <row r="203" spans="5:5" x14ac:dyDescent="0.25">
      <c r="E203" s="28"/>
    </row>
    <row r="204" spans="5:5" x14ac:dyDescent="0.25">
      <c r="E204" s="28"/>
    </row>
    <row r="205" spans="5:5" x14ac:dyDescent="0.25">
      <c r="E205" s="28"/>
    </row>
    <row r="206" spans="5:5" x14ac:dyDescent="0.25">
      <c r="E206" s="28"/>
    </row>
    <row r="207" spans="5:5" x14ac:dyDescent="0.25">
      <c r="E207" s="28"/>
    </row>
    <row r="208" spans="5:5" x14ac:dyDescent="0.25">
      <c r="E208" s="28"/>
    </row>
    <row r="209" spans="5:5" x14ac:dyDescent="0.25">
      <c r="E209" s="28"/>
    </row>
    <row r="210" spans="5:5" x14ac:dyDescent="0.25">
      <c r="E210" s="28"/>
    </row>
    <row r="211" spans="5:5" x14ac:dyDescent="0.25">
      <c r="E211" s="28"/>
    </row>
    <row r="212" spans="5:5" x14ac:dyDescent="0.25">
      <c r="E212" s="28"/>
    </row>
    <row r="213" spans="5:5" x14ac:dyDescent="0.25">
      <c r="E213" s="28"/>
    </row>
    <row r="214" spans="5:5" x14ac:dyDescent="0.25">
      <c r="E214" s="28"/>
    </row>
    <row r="215" spans="5:5" x14ac:dyDescent="0.25">
      <c r="E215" s="28"/>
    </row>
    <row r="216" spans="5:5" x14ac:dyDescent="0.25">
      <c r="E216" s="28"/>
    </row>
    <row r="217" spans="5:5" x14ac:dyDescent="0.25">
      <c r="E217" s="28"/>
    </row>
    <row r="218" spans="5:5" x14ac:dyDescent="0.25">
      <c r="E218" s="28"/>
    </row>
    <row r="219" spans="5:5" x14ac:dyDescent="0.25">
      <c r="E219" s="28"/>
    </row>
    <row r="220" spans="5:5" x14ac:dyDescent="0.25">
      <c r="E220" s="28"/>
    </row>
    <row r="221" spans="5:5" x14ac:dyDescent="0.25">
      <c r="E221" s="28"/>
    </row>
    <row r="222" spans="5:5" x14ac:dyDescent="0.25">
      <c r="E222" s="28"/>
    </row>
    <row r="223" spans="5:5" x14ac:dyDescent="0.25">
      <c r="E223" s="28"/>
    </row>
    <row r="224" spans="5:5" x14ac:dyDescent="0.25">
      <c r="E224" s="28"/>
    </row>
    <row r="225" spans="5:5" x14ac:dyDescent="0.25">
      <c r="E225" s="28"/>
    </row>
    <row r="226" spans="5:5" x14ac:dyDescent="0.25">
      <c r="E226" s="28"/>
    </row>
    <row r="227" spans="5:5" x14ac:dyDescent="0.25">
      <c r="E227" s="28"/>
    </row>
    <row r="228" spans="5:5" x14ac:dyDescent="0.25">
      <c r="E228" s="28"/>
    </row>
    <row r="229" spans="5:5" x14ac:dyDescent="0.25">
      <c r="E229" s="28"/>
    </row>
    <row r="230" spans="5:5" x14ac:dyDescent="0.25">
      <c r="E230" s="28"/>
    </row>
    <row r="231" spans="5:5" x14ac:dyDescent="0.25">
      <c r="E231" s="28"/>
    </row>
    <row r="232" spans="5:5" x14ac:dyDescent="0.25">
      <c r="E232" s="28"/>
    </row>
    <row r="233" spans="5:5" x14ac:dyDescent="0.25">
      <c r="E233" s="28"/>
    </row>
    <row r="234" spans="5:5" x14ac:dyDescent="0.25">
      <c r="E234" s="28"/>
    </row>
    <row r="235" spans="5:5" x14ac:dyDescent="0.25">
      <c r="E235" s="28"/>
    </row>
    <row r="236" spans="5:5" x14ac:dyDescent="0.25">
      <c r="E236" s="28"/>
    </row>
    <row r="237" spans="5:5" x14ac:dyDescent="0.25">
      <c r="E237" s="28"/>
    </row>
    <row r="238" spans="5:5" x14ac:dyDescent="0.25">
      <c r="E238" s="28"/>
    </row>
    <row r="239" spans="5:5" x14ac:dyDescent="0.25">
      <c r="E239" s="28"/>
    </row>
    <row r="240" spans="5:5" x14ac:dyDescent="0.25">
      <c r="E240" s="28"/>
    </row>
    <row r="241" spans="5:5" x14ac:dyDescent="0.25">
      <c r="E241" s="28"/>
    </row>
    <row r="242" spans="5:5" x14ac:dyDescent="0.25">
      <c r="E242" s="28"/>
    </row>
    <row r="243" spans="5:5" x14ac:dyDescent="0.25">
      <c r="E243" s="28"/>
    </row>
    <row r="244" spans="5:5" x14ac:dyDescent="0.25">
      <c r="E244" s="28"/>
    </row>
    <row r="245" spans="5:5" x14ac:dyDescent="0.25">
      <c r="E245" s="28"/>
    </row>
    <row r="246" spans="5:5" x14ac:dyDescent="0.25">
      <c r="E246" s="28"/>
    </row>
    <row r="247" spans="5:5" x14ac:dyDescent="0.25">
      <c r="E247" s="28"/>
    </row>
    <row r="248" spans="5:5" x14ac:dyDescent="0.25">
      <c r="E248" s="28"/>
    </row>
    <row r="249" spans="5:5" x14ac:dyDescent="0.25">
      <c r="E249" s="28"/>
    </row>
    <row r="250" spans="5:5" x14ac:dyDescent="0.25">
      <c r="E250" s="28"/>
    </row>
    <row r="251" spans="5:5" x14ac:dyDescent="0.25">
      <c r="E251" s="28"/>
    </row>
    <row r="252" spans="5:5" x14ac:dyDescent="0.25">
      <c r="E252" s="28"/>
    </row>
    <row r="253" spans="5:5" x14ac:dyDescent="0.25">
      <c r="E253" s="28"/>
    </row>
    <row r="254" spans="5:5" x14ac:dyDescent="0.25">
      <c r="E254" s="28"/>
    </row>
    <row r="255" spans="5:5" x14ac:dyDescent="0.25">
      <c r="E255" s="28"/>
    </row>
  </sheetData>
  <autoFilter ref="A4:K33" xr:uid="{00000000-0009-0000-0000-000001000000}"/>
  <customSheetViews>
    <customSheetView guid="{0919DC40-70F7-46DB-9F44-D3AE0E183D1A}" scale="93" showPageBreaks="1" printArea="1" showAutoFilter="1" hiddenColumns="1" showRuler="0" topLeftCell="C1">
      <selection activeCell="J26" sqref="J26"/>
      <rowBreaks count="3" manualBreakCount="3">
        <brk id="16" max="7" man="1"/>
        <brk id="19" max="16383" man="1"/>
        <brk id="34" max="7" man="1"/>
      </rowBreaks>
      <pageMargins left="0.19685039370078741" right="0.19685039370078741" top="0.74803149606299213" bottom="0.43307086614173229" header="0.51181102362204722" footer="0.27559055118110237"/>
      <printOptions horizontalCentered="1"/>
      <pageSetup paperSize="9" orientation="landscape" copies="2" r:id="rId1"/>
      <headerFooter alignWithMargins="0">
        <oddHeader>&amp;LEkonomika a podnikání&amp;RAkční plán rozvoje města pro období 2021 - 2022</oddHeader>
        <oddFooter>&amp;C&amp;P/&amp;N</oddFooter>
      </headerFooter>
      <autoFilter ref="B1:M1" xr:uid="{5B388AA7-FE8A-4B47-97E5-15B1F6646995}"/>
    </customSheetView>
  </customSheetViews>
  <mergeCells count="29">
    <mergeCell ref="A1:K1"/>
    <mergeCell ref="A12:A13"/>
    <mergeCell ref="C8:H8"/>
    <mergeCell ref="B6:B7"/>
    <mergeCell ref="A2:A4"/>
    <mergeCell ref="B2:B4"/>
    <mergeCell ref="A6:A11"/>
    <mergeCell ref="K2:K4"/>
    <mergeCell ref="C2:C4"/>
    <mergeCell ref="F2:F4"/>
    <mergeCell ref="H2:H4"/>
    <mergeCell ref="G2:G4"/>
    <mergeCell ref="E2:E4"/>
    <mergeCell ref="J2:J4"/>
    <mergeCell ref="A14:A18"/>
    <mergeCell ref="A19:A25"/>
    <mergeCell ref="A26:A33"/>
    <mergeCell ref="J9:J10"/>
    <mergeCell ref="K9:K10"/>
    <mergeCell ref="C18:H18"/>
    <mergeCell ref="C15:H15"/>
    <mergeCell ref="C17:H17"/>
    <mergeCell ref="C10:H10"/>
    <mergeCell ref="C16:H16"/>
    <mergeCell ref="B32:B33"/>
    <mergeCell ref="B12:B13"/>
    <mergeCell ref="B26:B30"/>
    <mergeCell ref="C31:H31"/>
    <mergeCell ref="B19:B25"/>
  </mergeCells>
  <phoneticPr fontId="7" type="noConversion"/>
  <printOptions horizontalCentered="1"/>
  <pageMargins left="0.23622047244094491" right="0.23622047244094491" top="0.74803149606299213" bottom="0.74803149606299213" header="0.31496062992125984" footer="0.31496062992125984"/>
  <pageSetup paperSize="9" scale="91" fitToHeight="0" orientation="landscape" copies="2" r:id="rId2"/>
  <headerFooter alignWithMargins="0">
    <oddHeader>&amp;LEkonomika a podnikání&amp;RAkční plán rozvoje města pro období 2024-2025</oddHeader>
    <oddFooter>&amp;C&amp;P/&amp;N&amp;RVyhodnocení k 31.12.2024</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17"/>
    <pageSetUpPr fitToPage="1"/>
  </sheetPr>
  <dimension ref="A1:K226"/>
  <sheetViews>
    <sheetView topLeftCell="A37" zoomScaleNormal="100" workbookViewId="0">
      <selection activeCell="J42" sqref="J42"/>
    </sheetView>
  </sheetViews>
  <sheetFormatPr defaultRowHeight="14" x14ac:dyDescent="0.25"/>
  <cols>
    <col min="1" max="1" width="5.26953125" style="1" customWidth="1"/>
    <col min="2" max="2" width="30.1796875" style="277" customWidth="1"/>
    <col min="3" max="3" width="42" style="92" customWidth="1"/>
    <col min="4" max="4" width="7.7265625" style="93" customWidth="1"/>
    <col min="5" max="5" width="8.453125" style="93" customWidth="1"/>
    <col min="6" max="7" width="9.7265625" style="94" hidden="1" customWidth="1"/>
    <col min="8" max="8" width="9.26953125" style="92" hidden="1" customWidth="1"/>
    <col min="9" max="9" width="9.26953125" style="154" hidden="1" customWidth="1"/>
    <col min="10" max="10" width="11" style="98" customWidth="1"/>
    <col min="11" max="11" width="52.90625" style="79" customWidth="1"/>
  </cols>
  <sheetData>
    <row r="1" spans="1:11" ht="28" customHeight="1" thickBot="1" x14ac:dyDescent="0.3">
      <c r="A1" s="586" t="s">
        <v>59</v>
      </c>
      <c r="B1" s="587"/>
      <c r="C1" s="587"/>
      <c r="D1" s="587"/>
      <c r="E1" s="587"/>
      <c r="F1" s="587"/>
      <c r="G1" s="587"/>
      <c r="H1" s="587"/>
      <c r="I1" s="587"/>
      <c r="J1" s="587"/>
      <c r="K1" s="588"/>
    </row>
    <row r="2" spans="1:11" ht="26.15" customHeight="1" x14ac:dyDescent="0.3">
      <c r="A2" s="589" t="s">
        <v>101</v>
      </c>
      <c r="B2" s="592" t="s">
        <v>7</v>
      </c>
      <c r="C2" s="592" t="s">
        <v>12</v>
      </c>
      <c r="D2" s="172" t="s">
        <v>13</v>
      </c>
      <c r="E2" s="627" t="s">
        <v>19</v>
      </c>
      <c r="F2" s="621" t="s">
        <v>58</v>
      </c>
      <c r="G2" s="621" t="s">
        <v>263</v>
      </c>
      <c r="H2" s="630" t="s">
        <v>265</v>
      </c>
      <c r="I2" s="484"/>
      <c r="J2" s="624" t="s">
        <v>2</v>
      </c>
      <c r="K2" s="618" t="s">
        <v>28</v>
      </c>
    </row>
    <row r="3" spans="1:11" ht="13" x14ac:dyDescent="0.3">
      <c r="A3" s="590"/>
      <c r="B3" s="593"/>
      <c r="C3" s="593"/>
      <c r="D3" s="173" t="s">
        <v>24</v>
      </c>
      <c r="E3" s="628"/>
      <c r="F3" s="622"/>
      <c r="G3" s="622"/>
      <c r="H3" s="631"/>
      <c r="I3" s="485"/>
      <c r="J3" s="625"/>
      <c r="K3" s="619"/>
    </row>
    <row r="4" spans="1:11" ht="13.5" thickBot="1" x14ac:dyDescent="0.35">
      <c r="A4" s="591"/>
      <c r="B4" s="594"/>
      <c r="C4" s="594"/>
      <c r="D4" s="174" t="s">
        <v>25</v>
      </c>
      <c r="E4" s="629"/>
      <c r="F4" s="623"/>
      <c r="G4" s="623"/>
      <c r="H4" s="632"/>
      <c r="I4" s="487"/>
      <c r="J4" s="626"/>
      <c r="K4" s="620"/>
    </row>
    <row r="5" spans="1:11" ht="4.5" customHeight="1" thickBot="1" x14ac:dyDescent="0.35">
      <c r="A5" s="446"/>
      <c r="B5" s="489"/>
      <c r="C5" s="443"/>
      <c r="D5" s="174"/>
      <c r="E5" s="444"/>
      <c r="F5" s="442"/>
      <c r="G5" s="442"/>
      <c r="H5" s="445"/>
      <c r="I5" s="490"/>
      <c r="J5" s="491"/>
      <c r="K5" s="492"/>
    </row>
    <row r="6" spans="1:11" ht="43.5" x14ac:dyDescent="0.25">
      <c r="A6" s="541" t="s">
        <v>60</v>
      </c>
      <c r="B6" s="556" t="s">
        <v>61</v>
      </c>
      <c r="C6" s="122" t="s">
        <v>181</v>
      </c>
      <c r="D6" s="113" t="s">
        <v>17</v>
      </c>
      <c r="E6" s="123" t="s">
        <v>235</v>
      </c>
      <c r="F6" s="43">
        <v>500</v>
      </c>
      <c r="G6" s="319" t="s">
        <v>323</v>
      </c>
      <c r="H6" s="39"/>
      <c r="I6" s="506" t="s">
        <v>140</v>
      </c>
      <c r="J6" s="34" t="s">
        <v>4</v>
      </c>
      <c r="K6" s="218" t="s">
        <v>545</v>
      </c>
    </row>
    <row r="7" spans="1:11" ht="43.5" x14ac:dyDescent="0.25">
      <c r="A7" s="542"/>
      <c r="B7" s="559"/>
      <c r="C7" s="115" t="s">
        <v>236</v>
      </c>
      <c r="D7" s="111" t="s">
        <v>17</v>
      </c>
      <c r="E7" s="116" t="s">
        <v>178</v>
      </c>
      <c r="F7" s="36">
        <v>1500</v>
      </c>
      <c r="G7" s="320" t="s">
        <v>323</v>
      </c>
      <c r="H7" s="56"/>
      <c r="I7" s="307" t="s">
        <v>140</v>
      </c>
      <c r="J7" s="101" t="s">
        <v>4</v>
      </c>
      <c r="K7" s="215" t="s">
        <v>452</v>
      </c>
    </row>
    <row r="8" spans="1:11" ht="64.5" customHeight="1" thickBot="1" x14ac:dyDescent="0.3">
      <c r="A8" s="542"/>
      <c r="B8" s="557"/>
      <c r="C8" s="82" t="s">
        <v>258</v>
      </c>
      <c r="D8" s="60" t="s">
        <v>17</v>
      </c>
      <c r="E8" s="61" t="s">
        <v>259</v>
      </c>
      <c r="F8" s="37"/>
      <c r="G8" s="47"/>
      <c r="H8" s="63"/>
      <c r="I8" s="296"/>
      <c r="J8" s="72" t="s">
        <v>4</v>
      </c>
      <c r="K8" s="216" t="s">
        <v>526</v>
      </c>
    </row>
    <row r="9" spans="1:11" ht="44" thickBot="1" x14ac:dyDescent="0.3">
      <c r="A9" s="542"/>
      <c r="B9" s="284" t="s">
        <v>62</v>
      </c>
      <c r="C9" s="168" t="s">
        <v>328</v>
      </c>
      <c r="D9" s="169" t="s">
        <v>17</v>
      </c>
      <c r="E9" s="170" t="s">
        <v>329</v>
      </c>
      <c r="F9" s="330">
        <v>100</v>
      </c>
      <c r="G9" s="331"/>
      <c r="H9" s="171"/>
      <c r="I9" s="228"/>
      <c r="J9" s="186" t="s">
        <v>4</v>
      </c>
      <c r="K9" s="229" t="s">
        <v>453</v>
      </c>
    </row>
    <row r="10" spans="1:11" ht="29.5" thickBot="1" x14ac:dyDescent="0.3">
      <c r="A10" s="543"/>
      <c r="B10" s="282" t="s">
        <v>63</v>
      </c>
      <c r="C10" s="503" t="s">
        <v>282</v>
      </c>
      <c r="D10" s="189" t="s">
        <v>14</v>
      </c>
      <c r="E10" s="329" t="s">
        <v>107</v>
      </c>
      <c r="F10" s="505"/>
      <c r="G10" s="505"/>
      <c r="H10" s="190"/>
      <c r="I10" s="228"/>
      <c r="J10" s="426" t="s">
        <v>5</v>
      </c>
      <c r="K10" s="217" t="s">
        <v>463</v>
      </c>
    </row>
    <row r="11" spans="1:11" ht="72.5" customHeight="1" x14ac:dyDescent="0.25">
      <c r="A11" s="541" t="s">
        <v>64</v>
      </c>
      <c r="B11" s="597" t="s">
        <v>128</v>
      </c>
      <c r="C11" s="68" t="s">
        <v>260</v>
      </c>
      <c r="D11" s="89" t="s">
        <v>130</v>
      </c>
      <c r="E11" s="90" t="s">
        <v>10</v>
      </c>
      <c r="F11" s="84"/>
      <c r="G11" s="75"/>
      <c r="H11" s="69"/>
      <c r="I11" s="499"/>
      <c r="J11" s="34" t="s">
        <v>4</v>
      </c>
      <c r="K11" s="246" t="s">
        <v>454</v>
      </c>
    </row>
    <row r="12" spans="1:11" ht="58.5" thickBot="1" x14ac:dyDescent="0.3">
      <c r="A12" s="542"/>
      <c r="B12" s="598"/>
      <c r="C12" s="74" t="s">
        <v>239</v>
      </c>
      <c r="D12" s="76" t="s">
        <v>17</v>
      </c>
      <c r="E12" s="77" t="s">
        <v>25</v>
      </c>
      <c r="F12" s="325">
        <f>27865+7000</f>
        <v>34865</v>
      </c>
      <c r="G12" s="70"/>
      <c r="H12" s="91" t="s">
        <v>281</v>
      </c>
      <c r="I12" s="500" t="s">
        <v>288</v>
      </c>
      <c r="J12" s="72" t="s">
        <v>4</v>
      </c>
      <c r="K12" s="240" t="s">
        <v>420</v>
      </c>
    </row>
    <row r="13" spans="1:11" ht="87.5" thickBot="1" x14ac:dyDescent="0.3">
      <c r="A13" s="543"/>
      <c r="B13" s="502" t="s">
        <v>65</v>
      </c>
      <c r="C13" s="503" t="s">
        <v>262</v>
      </c>
      <c r="D13" s="189" t="s">
        <v>17</v>
      </c>
      <c r="E13" s="504" t="s">
        <v>327</v>
      </c>
      <c r="F13" s="505">
        <v>700</v>
      </c>
      <c r="G13" s="505"/>
      <c r="H13" s="190"/>
      <c r="I13" s="506" t="s">
        <v>140</v>
      </c>
      <c r="J13" s="186" t="s">
        <v>4</v>
      </c>
      <c r="K13" s="229" t="s">
        <v>514</v>
      </c>
    </row>
    <row r="14" spans="1:11" ht="29" x14ac:dyDescent="0.25">
      <c r="A14" s="541" t="s">
        <v>64</v>
      </c>
      <c r="B14" s="600" t="s">
        <v>218</v>
      </c>
      <c r="C14" s="68" t="s">
        <v>261</v>
      </c>
      <c r="D14" s="89" t="s">
        <v>17</v>
      </c>
      <c r="E14" s="90" t="s">
        <v>139</v>
      </c>
      <c r="F14" s="84">
        <v>20000</v>
      </c>
      <c r="G14" s="257"/>
      <c r="H14" s="258"/>
      <c r="I14" s="307" t="s">
        <v>140</v>
      </c>
      <c r="J14" s="34" t="s">
        <v>4</v>
      </c>
      <c r="K14" s="239" t="s">
        <v>455</v>
      </c>
    </row>
    <row r="15" spans="1:11" ht="65" customHeight="1" x14ac:dyDescent="0.25">
      <c r="A15" s="542"/>
      <c r="B15" s="601"/>
      <c r="C15" s="326" t="s">
        <v>237</v>
      </c>
      <c r="D15" s="259" t="s">
        <v>238</v>
      </c>
      <c r="E15" s="260" t="s">
        <v>25</v>
      </c>
      <c r="F15" s="327">
        <f>2000+250+2000</f>
        <v>4250</v>
      </c>
      <c r="G15" s="261"/>
      <c r="H15" s="262"/>
      <c r="I15" s="298" t="s">
        <v>288</v>
      </c>
      <c r="J15" s="101" t="s">
        <v>4</v>
      </c>
      <c r="K15" s="256" t="s">
        <v>421</v>
      </c>
    </row>
    <row r="16" spans="1:11" ht="76" customHeight="1" thickBot="1" x14ac:dyDescent="0.3">
      <c r="A16" s="543"/>
      <c r="B16" s="602"/>
      <c r="C16" s="74" t="s">
        <v>240</v>
      </c>
      <c r="D16" s="76" t="s">
        <v>208</v>
      </c>
      <c r="E16" s="77" t="s">
        <v>20</v>
      </c>
      <c r="F16" s="71"/>
      <c r="G16" s="83"/>
      <c r="H16" s="91"/>
      <c r="I16" s="296"/>
      <c r="J16" s="212" t="s">
        <v>3</v>
      </c>
      <c r="K16" s="240" t="s">
        <v>527</v>
      </c>
    </row>
    <row r="17" spans="1:11" ht="64" customHeight="1" x14ac:dyDescent="0.25">
      <c r="A17" s="606" t="s">
        <v>66</v>
      </c>
      <c r="B17" s="603" t="s">
        <v>67</v>
      </c>
      <c r="C17" s="299" t="s">
        <v>301</v>
      </c>
      <c r="D17" s="300" t="s">
        <v>14</v>
      </c>
      <c r="E17" s="301" t="s">
        <v>289</v>
      </c>
      <c r="F17" s="285"/>
      <c r="G17" s="241">
        <v>150</v>
      </c>
      <c r="H17" s="39"/>
      <c r="I17" s="499"/>
      <c r="J17" s="209" t="s">
        <v>5</v>
      </c>
      <c r="K17" s="239" t="s">
        <v>464</v>
      </c>
    </row>
    <row r="18" spans="1:11" ht="29" customHeight="1" x14ac:dyDescent="0.25">
      <c r="A18" s="607"/>
      <c r="B18" s="604"/>
      <c r="C18" s="10" t="s">
        <v>408</v>
      </c>
      <c r="D18" s="14" t="s">
        <v>14</v>
      </c>
      <c r="E18" s="25" t="s">
        <v>21</v>
      </c>
      <c r="F18" s="36">
        <v>11000</v>
      </c>
      <c r="G18" s="130"/>
      <c r="H18" s="56"/>
      <c r="I18" s="307" t="s">
        <v>140</v>
      </c>
      <c r="J18" s="18" t="s">
        <v>4</v>
      </c>
      <c r="K18" s="153" t="s">
        <v>546</v>
      </c>
    </row>
    <row r="19" spans="1:11" ht="30" customHeight="1" x14ac:dyDescent="0.25">
      <c r="A19" s="607"/>
      <c r="B19" s="604"/>
      <c r="C19" s="10" t="s">
        <v>311</v>
      </c>
      <c r="D19" s="14" t="s">
        <v>14</v>
      </c>
      <c r="E19" s="25" t="s">
        <v>25</v>
      </c>
      <c r="F19" s="36">
        <f>600+2000</f>
        <v>2600</v>
      </c>
      <c r="G19" s="130"/>
      <c r="H19" s="56"/>
      <c r="I19" s="298" t="s">
        <v>288</v>
      </c>
      <c r="J19" s="18" t="s">
        <v>4</v>
      </c>
      <c r="K19" s="153" t="s">
        <v>547</v>
      </c>
    </row>
    <row r="20" spans="1:11" ht="72.5" customHeight="1" x14ac:dyDescent="0.25">
      <c r="A20" s="607"/>
      <c r="B20" s="604"/>
      <c r="C20" s="10" t="s">
        <v>312</v>
      </c>
      <c r="D20" s="14" t="s">
        <v>208</v>
      </c>
      <c r="E20" s="25" t="s">
        <v>302</v>
      </c>
      <c r="F20" s="36"/>
      <c r="G20" s="130"/>
      <c r="H20" s="56"/>
      <c r="I20" s="272"/>
      <c r="J20" s="18" t="s">
        <v>4</v>
      </c>
      <c r="K20" s="153" t="s">
        <v>508</v>
      </c>
    </row>
    <row r="21" spans="1:11" ht="64" customHeight="1" x14ac:dyDescent="0.25">
      <c r="A21" s="607"/>
      <c r="B21" s="604"/>
      <c r="C21" s="10" t="s">
        <v>290</v>
      </c>
      <c r="D21" s="14" t="s">
        <v>14</v>
      </c>
      <c r="E21" s="25" t="s">
        <v>303</v>
      </c>
      <c r="F21" s="36"/>
      <c r="G21" s="130"/>
      <c r="H21" s="56"/>
      <c r="I21" s="272"/>
      <c r="J21" s="18" t="s">
        <v>4</v>
      </c>
      <c r="K21" s="153" t="s">
        <v>465</v>
      </c>
    </row>
    <row r="22" spans="1:11" ht="35" customHeight="1" thickBot="1" x14ac:dyDescent="0.3">
      <c r="A22" s="608"/>
      <c r="B22" s="605"/>
      <c r="C22" s="82" t="s">
        <v>414</v>
      </c>
      <c r="D22" s="60" t="s">
        <v>14</v>
      </c>
      <c r="E22" s="61" t="s">
        <v>21</v>
      </c>
      <c r="F22" s="37">
        <f>250+3000</f>
        <v>3250</v>
      </c>
      <c r="G22" s="242"/>
      <c r="H22" s="63"/>
      <c r="I22" s="500" t="s">
        <v>288</v>
      </c>
      <c r="J22" s="72" t="s">
        <v>4</v>
      </c>
      <c r="K22" s="243" t="s">
        <v>548</v>
      </c>
    </row>
    <row r="23" spans="1:11" ht="44" thickBot="1" x14ac:dyDescent="0.3">
      <c r="A23" s="541" t="s">
        <v>66</v>
      </c>
      <c r="B23" s="509" t="s">
        <v>68</v>
      </c>
      <c r="C23" s="516" t="s">
        <v>313</v>
      </c>
      <c r="D23" s="517" t="s">
        <v>17</v>
      </c>
      <c r="E23" s="518" t="s">
        <v>241</v>
      </c>
      <c r="F23" s="519">
        <v>5000</v>
      </c>
      <c r="G23" s="520" t="s">
        <v>323</v>
      </c>
      <c r="H23" s="521"/>
      <c r="I23" s="522" t="s">
        <v>140</v>
      </c>
      <c r="J23" s="199" t="s">
        <v>4</v>
      </c>
      <c r="K23" s="271" t="s">
        <v>456</v>
      </c>
    </row>
    <row r="24" spans="1:11" ht="29" x14ac:dyDescent="0.25">
      <c r="A24" s="542"/>
      <c r="B24" s="556" t="s">
        <v>69</v>
      </c>
      <c r="C24" s="57" t="s">
        <v>185</v>
      </c>
      <c r="D24" s="12" t="s">
        <v>17</v>
      </c>
      <c r="E24" s="24" t="s">
        <v>25</v>
      </c>
      <c r="F24" s="43">
        <f>23000+500</f>
        <v>23500</v>
      </c>
      <c r="G24" s="43"/>
      <c r="H24" s="39" t="s">
        <v>391</v>
      </c>
      <c r="I24" s="507" t="s">
        <v>288</v>
      </c>
      <c r="J24" s="418" t="s">
        <v>3</v>
      </c>
      <c r="K24" s="239" t="s">
        <v>422</v>
      </c>
    </row>
    <row r="25" spans="1:11" ht="58" x14ac:dyDescent="0.25">
      <c r="A25" s="542"/>
      <c r="B25" s="559"/>
      <c r="C25" s="10" t="s">
        <v>0</v>
      </c>
      <c r="D25" s="14" t="s">
        <v>17</v>
      </c>
      <c r="E25" s="25" t="s">
        <v>178</v>
      </c>
      <c r="F25" s="36">
        <f>245 + 5000</f>
        <v>5245</v>
      </c>
      <c r="G25" s="320" t="s">
        <v>323</v>
      </c>
      <c r="H25" s="56" t="s">
        <v>391</v>
      </c>
      <c r="I25" s="298" t="s">
        <v>288</v>
      </c>
      <c r="J25" s="18" t="s">
        <v>4</v>
      </c>
      <c r="K25" s="153" t="s">
        <v>466</v>
      </c>
    </row>
    <row r="26" spans="1:11" ht="43.5" x14ac:dyDescent="0.25">
      <c r="A26" s="542"/>
      <c r="B26" s="559"/>
      <c r="C26" s="10" t="s">
        <v>330</v>
      </c>
      <c r="D26" s="14" t="s">
        <v>14</v>
      </c>
      <c r="E26" s="25" t="s">
        <v>21</v>
      </c>
      <c r="F26" s="36">
        <v>150</v>
      </c>
      <c r="G26" s="130"/>
      <c r="H26" s="56" t="s">
        <v>391</v>
      </c>
      <c r="I26" s="307" t="s">
        <v>140</v>
      </c>
      <c r="J26" s="420" t="s">
        <v>3</v>
      </c>
      <c r="K26" s="153" t="s">
        <v>423</v>
      </c>
    </row>
    <row r="27" spans="1:11" ht="43.5" x14ac:dyDescent="0.25">
      <c r="A27" s="542"/>
      <c r="B27" s="559"/>
      <c r="C27" s="10" t="s">
        <v>406</v>
      </c>
      <c r="D27" s="14" t="s">
        <v>14</v>
      </c>
      <c r="E27" s="25" t="s">
        <v>232</v>
      </c>
      <c r="F27" s="36">
        <v>150</v>
      </c>
      <c r="G27" s="320" t="s">
        <v>323</v>
      </c>
      <c r="H27" s="56"/>
      <c r="I27" s="307" t="s">
        <v>140</v>
      </c>
      <c r="J27" s="18" t="s">
        <v>4</v>
      </c>
      <c r="K27" s="153" t="s">
        <v>467</v>
      </c>
    </row>
    <row r="28" spans="1:11" ht="30" customHeight="1" x14ac:dyDescent="0.25">
      <c r="A28" s="542"/>
      <c r="B28" s="559"/>
      <c r="C28" s="10" t="s">
        <v>30</v>
      </c>
      <c r="D28" s="14" t="s">
        <v>14</v>
      </c>
      <c r="E28" s="25" t="s">
        <v>25</v>
      </c>
      <c r="F28" s="36">
        <v>4000</v>
      </c>
      <c r="G28" s="130"/>
      <c r="H28" s="56" t="s">
        <v>309</v>
      </c>
      <c r="I28" s="307" t="s">
        <v>140</v>
      </c>
      <c r="J28" s="420" t="s">
        <v>3</v>
      </c>
      <c r="K28" s="153" t="s">
        <v>549</v>
      </c>
    </row>
    <row r="29" spans="1:11" ht="29" customHeight="1" x14ac:dyDescent="0.25">
      <c r="A29" s="542"/>
      <c r="B29" s="559"/>
      <c r="C29" s="10" t="s">
        <v>407</v>
      </c>
      <c r="D29" s="14" t="s">
        <v>14</v>
      </c>
      <c r="E29" s="25" t="s">
        <v>25</v>
      </c>
      <c r="F29" s="36">
        <v>3200</v>
      </c>
      <c r="G29" s="130"/>
      <c r="H29" s="56" t="s">
        <v>309</v>
      </c>
      <c r="I29" s="307" t="s">
        <v>140</v>
      </c>
      <c r="J29" s="420" t="s">
        <v>3</v>
      </c>
      <c r="K29" s="153" t="s">
        <v>550</v>
      </c>
    </row>
    <row r="30" spans="1:11" ht="43.5" x14ac:dyDescent="0.25">
      <c r="A30" s="542"/>
      <c r="B30" s="559"/>
      <c r="C30" s="10" t="s">
        <v>182</v>
      </c>
      <c r="D30" s="14" t="s">
        <v>14</v>
      </c>
      <c r="E30" s="25" t="s">
        <v>156</v>
      </c>
      <c r="F30" s="36">
        <v>2000</v>
      </c>
      <c r="G30" s="320" t="s">
        <v>323</v>
      </c>
      <c r="H30" s="56" t="s">
        <v>391</v>
      </c>
      <c r="I30" s="307" t="s">
        <v>140</v>
      </c>
      <c r="J30" s="18" t="s">
        <v>4</v>
      </c>
      <c r="K30" s="153" t="s">
        <v>468</v>
      </c>
    </row>
    <row r="31" spans="1:11" ht="43.5" customHeight="1" x14ac:dyDescent="0.25">
      <c r="A31" s="542"/>
      <c r="B31" s="559"/>
      <c r="C31" s="10" t="s">
        <v>1</v>
      </c>
      <c r="D31" s="14" t="s">
        <v>29</v>
      </c>
      <c r="E31" s="25" t="s">
        <v>25</v>
      </c>
      <c r="F31" s="36">
        <v>2600</v>
      </c>
      <c r="G31" s="130"/>
      <c r="H31" s="56" t="s">
        <v>391</v>
      </c>
      <c r="I31" s="307" t="s">
        <v>140</v>
      </c>
      <c r="J31" s="18" t="s">
        <v>4</v>
      </c>
      <c r="K31" s="153" t="s">
        <v>564</v>
      </c>
    </row>
    <row r="32" spans="1:11" ht="110.5" customHeight="1" thickBot="1" x14ac:dyDescent="0.3">
      <c r="A32" s="543"/>
      <c r="B32" s="557"/>
      <c r="C32" s="82" t="s">
        <v>307</v>
      </c>
      <c r="D32" s="60" t="s">
        <v>14</v>
      </c>
      <c r="E32" s="61" t="s">
        <v>25</v>
      </c>
      <c r="F32" s="37">
        <v>3500</v>
      </c>
      <c r="G32" s="242"/>
      <c r="H32" s="63" t="s">
        <v>391</v>
      </c>
      <c r="I32" s="500" t="s">
        <v>270</v>
      </c>
      <c r="J32" s="72" t="s">
        <v>4</v>
      </c>
      <c r="K32" s="243" t="s">
        <v>424</v>
      </c>
    </row>
    <row r="33" spans="1:11" ht="58" x14ac:dyDescent="0.25">
      <c r="A33" s="541" t="s">
        <v>66</v>
      </c>
      <c r="B33" s="556" t="s">
        <v>69</v>
      </c>
      <c r="C33" s="57" t="s">
        <v>291</v>
      </c>
      <c r="D33" s="12" t="s">
        <v>17</v>
      </c>
      <c r="E33" s="24" t="s">
        <v>25</v>
      </c>
      <c r="F33" s="43">
        <v>5000</v>
      </c>
      <c r="G33" s="241"/>
      <c r="H33" s="39" t="s">
        <v>391</v>
      </c>
      <c r="I33" s="507" t="s">
        <v>270</v>
      </c>
      <c r="J33" s="34" t="s">
        <v>4</v>
      </c>
      <c r="K33" s="239" t="s">
        <v>515</v>
      </c>
    </row>
    <row r="34" spans="1:11" ht="31.5" x14ac:dyDescent="0.25">
      <c r="A34" s="542"/>
      <c r="B34" s="559"/>
      <c r="C34" s="10" t="s">
        <v>183</v>
      </c>
      <c r="D34" s="14" t="s">
        <v>14</v>
      </c>
      <c r="E34" s="25" t="s">
        <v>292</v>
      </c>
      <c r="F34" s="36">
        <v>250</v>
      </c>
      <c r="G34" s="320" t="s">
        <v>323</v>
      </c>
      <c r="H34" s="56"/>
      <c r="I34" s="307" t="s">
        <v>140</v>
      </c>
      <c r="J34" s="18" t="s">
        <v>4</v>
      </c>
      <c r="K34" s="153" t="s">
        <v>469</v>
      </c>
    </row>
    <row r="35" spans="1:11" ht="43.5" x14ac:dyDescent="0.25">
      <c r="A35" s="542"/>
      <c r="B35" s="559"/>
      <c r="C35" s="10" t="s">
        <v>415</v>
      </c>
      <c r="D35" s="14" t="s">
        <v>14</v>
      </c>
      <c r="E35" s="25" t="s">
        <v>25</v>
      </c>
      <c r="F35" s="36">
        <v>1200</v>
      </c>
      <c r="G35" s="328"/>
      <c r="H35" s="56" t="s">
        <v>391</v>
      </c>
      <c r="I35" s="307" t="s">
        <v>270</v>
      </c>
      <c r="J35" s="18" t="s">
        <v>4</v>
      </c>
      <c r="K35" s="153" t="s">
        <v>470</v>
      </c>
    </row>
    <row r="36" spans="1:11" ht="44" thickBot="1" x14ac:dyDescent="0.3">
      <c r="A36" s="542"/>
      <c r="B36" s="557"/>
      <c r="C36" s="82" t="s">
        <v>184</v>
      </c>
      <c r="D36" s="60" t="s">
        <v>165</v>
      </c>
      <c r="E36" s="61" t="s">
        <v>178</v>
      </c>
      <c r="F36" s="37">
        <v>1250</v>
      </c>
      <c r="G36" s="515" t="s">
        <v>323</v>
      </c>
      <c r="H36" s="63"/>
      <c r="I36" s="508" t="s">
        <v>140</v>
      </c>
      <c r="J36" s="72" t="s">
        <v>4</v>
      </c>
      <c r="K36" s="243" t="s">
        <v>471</v>
      </c>
    </row>
    <row r="37" spans="1:11" ht="58" customHeight="1" x14ac:dyDescent="0.25">
      <c r="A37" s="542"/>
      <c r="B37" s="599" t="s">
        <v>70</v>
      </c>
      <c r="C37" s="131" t="s">
        <v>106</v>
      </c>
      <c r="D37" s="510" t="s">
        <v>18</v>
      </c>
      <c r="E37" s="511" t="s">
        <v>107</v>
      </c>
      <c r="F37" s="512"/>
      <c r="G37" s="513"/>
      <c r="H37" s="514" t="s">
        <v>274</v>
      </c>
      <c r="I37" s="501"/>
      <c r="J37" s="468" t="s">
        <v>3</v>
      </c>
      <c r="K37" s="219" t="s">
        <v>229</v>
      </c>
    </row>
    <row r="38" spans="1:11" ht="44" thickBot="1" x14ac:dyDescent="0.3">
      <c r="A38" s="542"/>
      <c r="B38" s="596"/>
      <c r="C38" s="74" t="s">
        <v>242</v>
      </c>
      <c r="D38" s="76" t="s">
        <v>27</v>
      </c>
      <c r="E38" s="77" t="s">
        <v>25</v>
      </c>
      <c r="F38" s="71">
        <f>180+200</f>
        <v>380</v>
      </c>
      <c r="G38" s="244"/>
      <c r="H38" s="91" t="s">
        <v>275</v>
      </c>
      <c r="I38" s="307" t="s">
        <v>140</v>
      </c>
      <c r="J38" s="212" t="s">
        <v>3</v>
      </c>
      <c r="K38" s="243" t="s">
        <v>228</v>
      </c>
    </row>
    <row r="39" spans="1:11" ht="56.5" thickBot="1" x14ac:dyDescent="0.3">
      <c r="A39" s="543"/>
      <c r="B39" s="282" t="s">
        <v>71</v>
      </c>
      <c r="C39" s="612" t="s">
        <v>211</v>
      </c>
      <c r="D39" s="613"/>
      <c r="E39" s="613"/>
      <c r="F39" s="613"/>
      <c r="G39" s="613"/>
      <c r="H39" s="614"/>
      <c r="I39" s="272"/>
      <c r="J39" s="186" t="s">
        <v>4</v>
      </c>
      <c r="K39" s="217" t="s">
        <v>516</v>
      </c>
    </row>
    <row r="40" spans="1:11" ht="28.5" customHeight="1" thickBot="1" x14ac:dyDescent="0.3">
      <c r="A40" s="541" t="s">
        <v>72</v>
      </c>
      <c r="B40" s="275" t="s">
        <v>199</v>
      </c>
      <c r="C40" s="615" t="s">
        <v>209</v>
      </c>
      <c r="D40" s="616"/>
      <c r="E40" s="616"/>
      <c r="F40" s="616"/>
      <c r="G40" s="616"/>
      <c r="H40" s="617"/>
      <c r="I40" s="272"/>
      <c r="J40" s="186" t="s">
        <v>4</v>
      </c>
      <c r="K40" s="245" t="s">
        <v>517</v>
      </c>
    </row>
    <row r="41" spans="1:11" ht="42" customHeight="1" thickBot="1" x14ac:dyDescent="0.3">
      <c r="A41" s="542"/>
      <c r="B41" s="284" t="s">
        <v>73</v>
      </c>
      <c r="C41" s="609" t="s">
        <v>211</v>
      </c>
      <c r="D41" s="610"/>
      <c r="E41" s="610"/>
      <c r="F41" s="610"/>
      <c r="G41" s="610"/>
      <c r="H41" s="611"/>
      <c r="I41" s="272"/>
      <c r="J41" s="189"/>
      <c r="K41" s="229"/>
    </row>
    <row r="42" spans="1:11" ht="73" thickBot="1" x14ac:dyDescent="0.3">
      <c r="A42" s="543"/>
      <c r="B42" s="282" t="s">
        <v>74</v>
      </c>
      <c r="C42" s="551" t="s">
        <v>209</v>
      </c>
      <c r="D42" s="552"/>
      <c r="E42" s="552"/>
      <c r="F42" s="552"/>
      <c r="G42" s="552"/>
      <c r="H42" s="553"/>
      <c r="I42" s="296"/>
      <c r="J42" s="186" t="s">
        <v>4</v>
      </c>
      <c r="K42" s="217" t="s">
        <v>425</v>
      </c>
    </row>
    <row r="43" spans="1:11" ht="72.5" x14ac:dyDescent="0.25">
      <c r="A43" s="541" t="s">
        <v>72</v>
      </c>
      <c r="B43" s="595" t="s">
        <v>75</v>
      </c>
      <c r="C43" s="68" t="s">
        <v>412</v>
      </c>
      <c r="D43" s="89" t="s">
        <v>14</v>
      </c>
      <c r="E43" s="90" t="s">
        <v>243</v>
      </c>
      <c r="F43" s="84">
        <v>50000</v>
      </c>
      <c r="G43" s="75"/>
      <c r="H43" s="69"/>
      <c r="I43" s="507" t="s">
        <v>305</v>
      </c>
      <c r="J43" s="34" t="s">
        <v>472</v>
      </c>
      <c r="K43" s="239" t="s">
        <v>473</v>
      </c>
    </row>
    <row r="44" spans="1:11" ht="58.5" thickBot="1" x14ac:dyDescent="0.3">
      <c r="A44" s="542"/>
      <c r="B44" s="596"/>
      <c r="C44" s="74" t="s">
        <v>244</v>
      </c>
      <c r="D44" s="76" t="s">
        <v>141</v>
      </c>
      <c r="E44" s="77" t="s">
        <v>25</v>
      </c>
      <c r="F44" s="71">
        <v>3000</v>
      </c>
      <c r="G44" s="70"/>
      <c r="H44" s="91"/>
      <c r="I44" s="307" t="s">
        <v>140</v>
      </c>
      <c r="J44" s="206" t="s">
        <v>40</v>
      </c>
      <c r="K44" s="243" t="s">
        <v>562</v>
      </c>
    </row>
    <row r="45" spans="1:11" ht="58.5" thickBot="1" x14ac:dyDescent="0.3">
      <c r="A45" s="542"/>
      <c r="B45" s="274" t="s">
        <v>77</v>
      </c>
      <c r="C45" s="253" t="s">
        <v>112</v>
      </c>
      <c r="D45" s="189" t="s">
        <v>17</v>
      </c>
      <c r="E45" s="329" t="s">
        <v>36</v>
      </c>
      <c r="F45" s="333">
        <f>300+300</f>
        <v>600</v>
      </c>
      <c r="G45" s="328"/>
      <c r="H45" s="190" t="s">
        <v>278</v>
      </c>
      <c r="I45" s="307" t="s">
        <v>140</v>
      </c>
      <c r="J45" s="186" t="s">
        <v>4</v>
      </c>
      <c r="K45" s="217" t="s">
        <v>457</v>
      </c>
    </row>
    <row r="46" spans="1:11" ht="51" customHeight="1" thickBot="1" x14ac:dyDescent="0.3">
      <c r="A46" s="542"/>
      <c r="B46" s="284" t="s">
        <v>219</v>
      </c>
      <c r="C46" s="609" t="s">
        <v>211</v>
      </c>
      <c r="D46" s="610"/>
      <c r="E46" s="610"/>
      <c r="F46" s="610"/>
      <c r="G46" s="610"/>
      <c r="H46" s="611"/>
      <c r="I46" s="228"/>
      <c r="J46" s="225"/>
      <c r="K46" s="229"/>
    </row>
    <row r="47" spans="1:11" ht="42.5" thickBot="1" x14ac:dyDescent="0.3">
      <c r="A47" s="543"/>
      <c r="B47" s="274" t="s">
        <v>76</v>
      </c>
      <c r="C47" s="551" t="s">
        <v>211</v>
      </c>
      <c r="D47" s="552"/>
      <c r="E47" s="552"/>
      <c r="F47" s="552"/>
      <c r="G47" s="552"/>
      <c r="H47" s="553"/>
      <c r="I47" s="228"/>
      <c r="J47" s="225"/>
      <c r="K47" s="217"/>
    </row>
    <row r="48" spans="1:11" x14ac:dyDescent="0.3">
      <c r="E48" s="29"/>
      <c r="K48" s="238"/>
    </row>
    <row r="49" spans="2:7" x14ac:dyDescent="0.25">
      <c r="B49" s="277" t="s">
        <v>266</v>
      </c>
      <c r="E49" s="29"/>
      <c r="F49" s="94">
        <f>SUM(F43:F45,F10:F38,F6:F8)</f>
        <v>189690</v>
      </c>
      <c r="G49" s="94">
        <f>SUM(G43:G45,G10:G38,G6:G8)</f>
        <v>150</v>
      </c>
    </row>
    <row r="50" spans="2:7" ht="28" x14ac:dyDescent="0.25">
      <c r="B50" s="277" t="s">
        <v>267</v>
      </c>
      <c r="E50" s="29"/>
    </row>
    <row r="51" spans="2:7" ht="28" x14ac:dyDescent="0.25">
      <c r="B51" s="277" t="s">
        <v>276</v>
      </c>
      <c r="E51" s="29"/>
    </row>
    <row r="52" spans="2:7" x14ac:dyDescent="0.25">
      <c r="B52" s="277" t="s">
        <v>277</v>
      </c>
      <c r="E52" s="29"/>
    </row>
    <row r="53" spans="2:7" x14ac:dyDescent="0.25">
      <c r="B53" s="277" t="s">
        <v>308</v>
      </c>
      <c r="E53" s="29"/>
    </row>
    <row r="54" spans="2:7" x14ac:dyDescent="0.25">
      <c r="B54" s="277" t="s">
        <v>310</v>
      </c>
      <c r="E54" s="29"/>
    </row>
    <row r="55" spans="2:7" ht="28" x14ac:dyDescent="0.25">
      <c r="B55" s="277" t="s">
        <v>392</v>
      </c>
      <c r="E55" s="29"/>
    </row>
    <row r="56" spans="2:7" x14ac:dyDescent="0.25">
      <c r="E56" s="29"/>
    </row>
    <row r="57" spans="2:7" x14ac:dyDescent="0.25">
      <c r="E57" s="29"/>
    </row>
    <row r="58" spans="2:7" x14ac:dyDescent="0.25">
      <c r="E58" s="29"/>
    </row>
    <row r="59" spans="2:7" x14ac:dyDescent="0.25">
      <c r="E59" s="29"/>
    </row>
    <row r="60" spans="2:7" x14ac:dyDescent="0.25">
      <c r="E60" s="29"/>
    </row>
    <row r="61" spans="2:7" x14ac:dyDescent="0.25">
      <c r="E61" s="29"/>
    </row>
    <row r="62" spans="2:7" x14ac:dyDescent="0.25">
      <c r="E62" s="29"/>
    </row>
    <row r="63" spans="2:7" x14ac:dyDescent="0.25">
      <c r="E63" s="29"/>
    </row>
    <row r="64" spans="2:7" x14ac:dyDescent="0.25">
      <c r="E64" s="29"/>
    </row>
    <row r="65" spans="5:5" x14ac:dyDescent="0.25">
      <c r="E65" s="29"/>
    </row>
    <row r="66" spans="5:5" x14ac:dyDescent="0.25">
      <c r="E66" s="29"/>
    </row>
    <row r="67" spans="5:5" x14ac:dyDescent="0.25">
      <c r="E67" s="29"/>
    </row>
    <row r="68" spans="5:5" x14ac:dyDescent="0.25">
      <c r="E68" s="29"/>
    </row>
    <row r="69" spans="5:5" x14ac:dyDescent="0.25">
      <c r="E69" s="29"/>
    </row>
    <row r="70" spans="5:5" x14ac:dyDescent="0.25">
      <c r="E70" s="29"/>
    </row>
    <row r="71" spans="5:5" x14ac:dyDescent="0.25">
      <c r="E71" s="29"/>
    </row>
    <row r="72" spans="5:5" x14ac:dyDescent="0.25">
      <c r="E72" s="29"/>
    </row>
    <row r="73" spans="5:5" x14ac:dyDescent="0.25">
      <c r="E73" s="29"/>
    </row>
    <row r="74" spans="5:5" x14ac:dyDescent="0.25">
      <c r="E74" s="29"/>
    </row>
    <row r="75" spans="5:5" x14ac:dyDescent="0.25">
      <c r="E75" s="29"/>
    </row>
    <row r="76" spans="5:5" x14ac:dyDescent="0.25">
      <c r="E76" s="29"/>
    </row>
    <row r="77" spans="5:5" x14ac:dyDescent="0.25">
      <c r="E77" s="29"/>
    </row>
    <row r="78" spans="5:5" x14ac:dyDescent="0.25">
      <c r="E78" s="29"/>
    </row>
    <row r="79" spans="5:5" x14ac:dyDescent="0.25">
      <c r="E79" s="29"/>
    </row>
    <row r="80" spans="5:5" x14ac:dyDescent="0.25">
      <c r="E80" s="29"/>
    </row>
    <row r="81" spans="5:5" x14ac:dyDescent="0.25">
      <c r="E81" s="29"/>
    </row>
    <row r="82" spans="5:5" x14ac:dyDescent="0.25">
      <c r="E82" s="29"/>
    </row>
    <row r="83" spans="5:5" x14ac:dyDescent="0.25">
      <c r="E83" s="29"/>
    </row>
    <row r="84" spans="5:5" x14ac:dyDescent="0.25">
      <c r="E84" s="29"/>
    </row>
    <row r="85" spans="5:5" x14ac:dyDescent="0.25">
      <c r="E85" s="29"/>
    </row>
    <row r="86" spans="5:5" x14ac:dyDescent="0.25">
      <c r="E86" s="29"/>
    </row>
    <row r="87" spans="5:5" x14ac:dyDescent="0.25">
      <c r="E87" s="29"/>
    </row>
    <row r="88" spans="5:5" x14ac:dyDescent="0.25">
      <c r="E88" s="29"/>
    </row>
    <row r="89" spans="5:5" x14ac:dyDescent="0.25">
      <c r="E89" s="29"/>
    </row>
    <row r="90" spans="5:5" x14ac:dyDescent="0.25">
      <c r="E90" s="29"/>
    </row>
    <row r="91" spans="5:5" x14ac:dyDescent="0.25">
      <c r="E91" s="29"/>
    </row>
    <row r="92" spans="5:5" x14ac:dyDescent="0.25">
      <c r="E92" s="29"/>
    </row>
    <row r="93" spans="5:5" x14ac:dyDescent="0.25">
      <c r="E93" s="29"/>
    </row>
    <row r="94" spans="5:5" x14ac:dyDescent="0.25">
      <c r="E94" s="29"/>
    </row>
    <row r="95" spans="5:5" x14ac:dyDescent="0.25">
      <c r="E95" s="29"/>
    </row>
    <row r="96" spans="5:5" x14ac:dyDescent="0.25">
      <c r="E96" s="29"/>
    </row>
    <row r="97" spans="5:5" x14ac:dyDescent="0.25">
      <c r="E97" s="29"/>
    </row>
    <row r="98" spans="5:5" x14ac:dyDescent="0.25">
      <c r="E98" s="29"/>
    </row>
    <row r="99" spans="5:5" x14ac:dyDescent="0.25">
      <c r="E99" s="29"/>
    </row>
    <row r="100" spans="5:5" x14ac:dyDescent="0.25">
      <c r="E100" s="29"/>
    </row>
    <row r="101" spans="5:5" x14ac:dyDescent="0.25">
      <c r="E101" s="29"/>
    </row>
    <row r="102" spans="5:5" x14ac:dyDescent="0.25">
      <c r="E102" s="29"/>
    </row>
    <row r="103" spans="5:5" x14ac:dyDescent="0.25">
      <c r="E103" s="29"/>
    </row>
    <row r="104" spans="5:5" x14ac:dyDescent="0.25">
      <c r="E104" s="29"/>
    </row>
    <row r="105" spans="5:5" x14ac:dyDescent="0.25">
      <c r="E105" s="29"/>
    </row>
    <row r="106" spans="5:5" x14ac:dyDescent="0.25">
      <c r="E106" s="29"/>
    </row>
    <row r="107" spans="5:5" x14ac:dyDescent="0.25">
      <c r="E107" s="29"/>
    </row>
    <row r="108" spans="5:5" x14ac:dyDescent="0.25">
      <c r="E108" s="29"/>
    </row>
    <row r="109" spans="5:5" x14ac:dyDescent="0.25">
      <c r="E109" s="29"/>
    </row>
    <row r="110" spans="5:5" x14ac:dyDescent="0.25">
      <c r="E110" s="29"/>
    </row>
    <row r="111" spans="5:5" x14ac:dyDescent="0.25">
      <c r="E111" s="29"/>
    </row>
    <row r="112" spans="5:5" x14ac:dyDescent="0.25">
      <c r="E112" s="29"/>
    </row>
    <row r="113" spans="5:5" x14ac:dyDescent="0.25">
      <c r="E113" s="29"/>
    </row>
    <row r="114" spans="5:5" x14ac:dyDescent="0.25">
      <c r="E114" s="29"/>
    </row>
    <row r="115" spans="5:5" x14ac:dyDescent="0.25">
      <c r="E115" s="29"/>
    </row>
    <row r="116" spans="5:5" x14ac:dyDescent="0.25">
      <c r="E116" s="29"/>
    </row>
    <row r="117" spans="5:5" x14ac:dyDescent="0.25">
      <c r="E117" s="29"/>
    </row>
    <row r="118" spans="5:5" x14ac:dyDescent="0.25">
      <c r="E118" s="29"/>
    </row>
    <row r="119" spans="5:5" x14ac:dyDescent="0.25">
      <c r="E119" s="29"/>
    </row>
    <row r="120" spans="5:5" x14ac:dyDescent="0.25">
      <c r="E120" s="29"/>
    </row>
    <row r="121" spans="5:5" x14ac:dyDescent="0.25">
      <c r="E121" s="29"/>
    </row>
    <row r="122" spans="5:5" x14ac:dyDescent="0.25">
      <c r="E122" s="29"/>
    </row>
    <row r="123" spans="5:5" x14ac:dyDescent="0.25">
      <c r="E123" s="29"/>
    </row>
    <row r="124" spans="5:5" x14ac:dyDescent="0.25">
      <c r="E124" s="29"/>
    </row>
    <row r="125" spans="5:5" x14ac:dyDescent="0.25">
      <c r="E125" s="29"/>
    </row>
    <row r="126" spans="5:5" x14ac:dyDescent="0.25">
      <c r="E126" s="29"/>
    </row>
    <row r="127" spans="5:5" x14ac:dyDescent="0.25">
      <c r="E127" s="29"/>
    </row>
    <row r="128" spans="5:5" x14ac:dyDescent="0.25">
      <c r="E128" s="29"/>
    </row>
    <row r="129" spans="5:5" x14ac:dyDescent="0.25">
      <c r="E129" s="29"/>
    </row>
    <row r="130" spans="5:5" x14ac:dyDescent="0.25">
      <c r="E130" s="29"/>
    </row>
    <row r="131" spans="5:5" x14ac:dyDescent="0.25">
      <c r="E131" s="29"/>
    </row>
    <row r="132" spans="5:5" x14ac:dyDescent="0.25">
      <c r="E132" s="29"/>
    </row>
    <row r="133" spans="5:5" x14ac:dyDescent="0.25">
      <c r="E133" s="29"/>
    </row>
    <row r="134" spans="5:5" x14ac:dyDescent="0.25">
      <c r="E134" s="29"/>
    </row>
    <row r="135" spans="5:5" x14ac:dyDescent="0.25">
      <c r="E135" s="29"/>
    </row>
    <row r="136" spans="5:5" x14ac:dyDescent="0.25">
      <c r="E136" s="29"/>
    </row>
    <row r="137" spans="5:5" x14ac:dyDescent="0.25">
      <c r="E137" s="29"/>
    </row>
    <row r="138" spans="5:5" x14ac:dyDescent="0.25">
      <c r="E138" s="29"/>
    </row>
    <row r="139" spans="5:5" x14ac:dyDescent="0.25">
      <c r="E139" s="29"/>
    </row>
    <row r="140" spans="5:5" x14ac:dyDescent="0.25">
      <c r="E140" s="29"/>
    </row>
    <row r="141" spans="5:5" x14ac:dyDescent="0.25">
      <c r="E141" s="29"/>
    </row>
    <row r="142" spans="5:5" x14ac:dyDescent="0.25">
      <c r="E142" s="29"/>
    </row>
    <row r="143" spans="5:5" x14ac:dyDescent="0.25">
      <c r="E143" s="29"/>
    </row>
    <row r="144" spans="5:5" x14ac:dyDescent="0.25">
      <c r="E144" s="29"/>
    </row>
    <row r="145" spans="5:5" x14ac:dyDescent="0.25">
      <c r="E145" s="29"/>
    </row>
    <row r="146" spans="5:5" x14ac:dyDescent="0.25">
      <c r="E146" s="29"/>
    </row>
    <row r="147" spans="5:5" x14ac:dyDescent="0.25">
      <c r="E147" s="29"/>
    </row>
    <row r="148" spans="5:5" x14ac:dyDescent="0.25">
      <c r="E148" s="29"/>
    </row>
    <row r="149" spans="5:5" x14ac:dyDescent="0.25">
      <c r="E149" s="29"/>
    </row>
    <row r="150" spans="5:5" x14ac:dyDescent="0.25">
      <c r="E150" s="29"/>
    </row>
    <row r="151" spans="5:5" x14ac:dyDescent="0.25">
      <c r="E151" s="29"/>
    </row>
    <row r="152" spans="5:5" x14ac:dyDescent="0.25">
      <c r="E152" s="29"/>
    </row>
    <row r="153" spans="5:5" x14ac:dyDescent="0.25">
      <c r="E153" s="29"/>
    </row>
    <row r="154" spans="5:5" x14ac:dyDescent="0.25">
      <c r="E154" s="29"/>
    </row>
    <row r="155" spans="5:5" x14ac:dyDescent="0.25">
      <c r="E155" s="29"/>
    </row>
    <row r="156" spans="5:5" x14ac:dyDescent="0.25">
      <c r="E156" s="29"/>
    </row>
    <row r="157" spans="5:5" x14ac:dyDescent="0.25">
      <c r="E157" s="29"/>
    </row>
    <row r="158" spans="5:5" x14ac:dyDescent="0.25">
      <c r="E158" s="29"/>
    </row>
    <row r="159" spans="5:5" x14ac:dyDescent="0.25">
      <c r="E159" s="29"/>
    </row>
    <row r="160" spans="5:5" x14ac:dyDescent="0.25">
      <c r="E160" s="29"/>
    </row>
    <row r="161" spans="5:5" x14ac:dyDescent="0.25">
      <c r="E161" s="29"/>
    </row>
    <row r="162" spans="5:5" x14ac:dyDescent="0.25">
      <c r="E162" s="29"/>
    </row>
    <row r="163" spans="5:5" x14ac:dyDescent="0.25">
      <c r="E163" s="29"/>
    </row>
    <row r="164" spans="5:5" x14ac:dyDescent="0.25">
      <c r="E164" s="29"/>
    </row>
    <row r="165" spans="5:5" x14ac:dyDescent="0.25">
      <c r="E165" s="29"/>
    </row>
    <row r="166" spans="5:5" x14ac:dyDescent="0.25">
      <c r="E166" s="29"/>
    </row>
    <row r="167" spans="5:5" x14ac:dyDescent="0.25">
      <c r="E167" s="29"/>
    </row>
    <row r="168" spans="5:5" x14ac:dyDescent="0.25">
      <c r="E168" s="29"/>
    </row>
    <row r="169" spans="5:5" x14ac:dyDescent="0.25">
      <c r="E169" s="29"/>
    </row>
    <row r="170" spans="5:5" x14ac:dyDescent="0.25">
      <c r="E170" s="29"/>
    </row>
    <row r="171" spans="5:5" x14ac:dyDescent="0.25">
      <c r="E171" s="29"/>
    </row>
    <row r="172" spans="5:5" x14ac:dyDescent="0.25">
      <c r="E172" s="29"/>
    </row>
    <row r="173" spans="5:5" x14ac:dyDescent="0.25">
      <c r="E173" s="29"/>
    </row>
    <row r="174" spans="5:5" x14ac:dyDescent="0.25">
      <c r="E174" s="29"/>
    </row>
    <row r="175" spans="5:5" x14ac:dyDescent="0.25">
      <c r="E175" s="29"/>
    </row>
    <row r="176" spans="5:5" x14ac:dyDescent="0.25">
      <c r="E176" s="29"/>
    </row>
    <row r="177" spans="5:5" x14ac:dyDescent="0.25">
      <c r="E177" s="29"/>
    </row>
    <row r="178" spans="5:5" x14ac:dyDescent="0.25">
      <c r="E178" s="29"/>
    </row>
    <row r="179" spans="5:5" x14ac:dyDescent="0.25">
      <c r="E179" s="29"/>
    </row>
    <row r="180" spans="5:5" x14ac:dyDescent="0.25">
      <c r="E180" s="29"/>
    </row>
    <row r="181" spans="5:5" x14ac:dyDescent="0.25">
      <c r="E181" s="29"/>
    </row>
    <row r="182" spans="5:5" x14ac:dyDescent="0.25">
      <c r="E182" s="29"/>
    </row>
    <row r="183" spans="5:5" x14ac:dyDescent="0.25">
      <c r="E183" s="29"/>
    </row>
    <row r="184" spans="5:5" x14ac:dyDescent="0.25">
      <c r="E184" s="29"/>
    </row>
    <row r="185" spans="5:5" x14ac:dyDescent="0.25">
      <c r="E185" s="29"/>
    </row>
    <row r="186" spans="5:5" x14ac:dyDescent="0.25">
      <c r="E186" s="29"/>
    </row>
    <row r="187" spans="5:5" x14ac:dyDescent="0.25">
      <c r="E187" s="29"/>
    </row>
    <row r="188" spans="5:5" x14ac:dyDescent="0.25">
      <c r="E188" s="29"/>
    </row>
    <row r="189" spans="5:5" x14ac:dyDescent="0.25">
      <c r="E189" s="29"/>
    </row>
    <row r="190" spans="5:5" x14ac:dyDescent="0.25">
      <c r="E190" s="29"/>
    </row>
    <row r="191" spans="5:5" x14ac:dyDescent="0.25">
      <c r="E191" s="29"/>
    </row>
    <row r="192" spans="5:5" x14ac:dyDescent="0.25">
      <c r="E192" s="29"/>
    </row>
    <row r="193" spans="5:5" x14ac:dyDescent="0.25">
      <c r="E193" s="29"/>
    </row>
    <row r="194" spans="5:5" x14ac:dyDescent="0.25">
      <c r="E194" s="29"/>
    </row>
    <row r="195" spans="5:5" x14ac:dyDescent="0.25">
      <c r="E195" s="29"/>
    </row>
    <row r="196" spans="5:5" x14ac:dyDescent="0.25">
      <c r="E196" s="29"/>
    </row>
    <row r="197" spans="5:5" x14ac:dyDescent="0.25">
      <c r="E197" s="29"/>
    </row>
    <row r="198" spans="5:5" x14ac:dyDescent="0.25">
      <c r="E198" s="29"/>
    </row>
    <row r="199" spans="5:5" x14ac:dyDescent="0.25">
      <c r="E199" s="29"/>
    </row>
    <row r="200" spans="5:5" x14ac:dyDescent="0.25">
      <c r="E200" s="29"/>
    </row>
    <row r="201" spans="5:5" x14ac:dyDescent="0.25">
      <c r="E201" s="29"/>
    </row>
    <row r="202" spans="5:5" x14ac:dyDescent="0.25">
      <c r="E202" s="29"/>
    </row>
    <row r="203" spans="5:5" x14ac:dyDescent="0.25">
      <c r="E203" s="29"/>
    </row>
    <row r="204" spans="5:5" x14ac:dyDescent="0.25">
      <c r="E204" s="29"/>
    </row>
    <row r="205" spans="5:5" x14ac:dyDescent="0.25">
      <c r="E205" s="29"/>
    </row>
    <row r="206" spans="5:5" x14ac:dyDescent="0.25">
      <c r="E206" s="29"/>
    </row>
    <row r="207" spans="5:5" x14ac:dyDescent="0.25">
      <c r="E207" s="29"/>
    </row>
    <row r="208" spans="5:5" x14ac:dyDescent="0.25">
      <c r="E208" s="29"/>
    </row>
    <row r="209" spans="5:5" x14ac:dyDescent="0.25">
      <c r="E209" s="29"/>
    </row>
    <row r="210" spans="5:5" x14ac:dyDescent="0.25">
      <c r="E210" s="29"/>
    </row>
    <row r="211" spans="5:5" x14ac:dyDescent="0.25">
      <c r="E211" s="29"/>
    </row>
    <row r="212" spans="5:5" x14ac:dyDescent="0.25">
      <c r="E212" s="29"/>
    </row>
    <row r="213" spans="5:5" x14ac:dyDescent="0.25">
      <c r="E213" s="29"/>
    </row>
    <row r="214" spans="5:5" x14ac:dyDescent="0.25">
      <c r="E214" s="29"/>
    </row>
    <row r="215" spans="5:5" x14ac:dyDescent="0.25">
      <c r="E215" s="29"/>
    </row>
    <row r="216" spans="5:5" x14ac:dyDescent="0.25">
      <c r="E216" s="29"/>
    </row>
    <row r="217" spans="5:5" x14ac:dyDescent="0.25">
      <c r="E217" s="29"/>
    </row>
    <row r="218" spans="5:5" x14ac:dyDescent="0.25">
      <c r="E218" s="29"/>
    </row>
    <row r="219" spans="5:5" x14ac:dyDescent="0.25">
      <c r="E219" s="29"/>
    </row>
    <row r="220" spans="5:5" x14ac:dyDescent="0.25">
      <c r="E220" s="29"/>
    </row>
    <row r="221" spans="5:5" x14ac:dyDescent="0.25">
      <c r="E221" s="29"/>
    </row>
    <row r="222" spans="5:5" x14ac:dyDescent="0.25">
      <c r="E222" s="29"/>
    </row>
    <row r="223" spans="5:5" x14ac:dyDescent="0.25">
      <c r="E223" s="29"/>
    </row>
    <row r="224" spans="5:5" x14ac:dyDescent="0.25">
      <c r="E224" s="29"/>
    </row>
    <row r="225" spans="5:5" x14ac:dyDescent="0.25">
      <c r="E225" s="29"/>
    </row>
    <row r="226" spans="5:5" x14ac:dyDescent="0.25">
      <c r="E226" s="29"/>
    </row>
  </sheetData>
  <autoFilter ref="A4:K47" xr:uid="{00000000-0009-0000-0000-000002000000}"/>
  <customSheetViews>
    <customSheetView guid="{0919DC40-70F7-46DB-9F44-D3AE0E183D1A}" showPageBreaks="1" printArea="1" showAutoFilter="1" hiddenColumns="1" showRuler="0" topLeftCell="C40">
      <selection activeCell="I42" sqref="I42"/>
      <pageMargins left="0.19685039370078741" right="0.19685039370078741" top="0.74803149606299213" bottom="0.43307086614173229" header="0.51181102362204722" footer="0.27559055118110237"/>
      <printOptions horizontalCentered="1"/>
      <pageSetup paperSize="9" orientation="landscape" r:id="rId1"/>
      <headerFooter alignWithMargins="0">
        <oddHeader>&amp;LImage města&amp;RAkční plán rozvoje města pro období 2021 - 2022</oddHeader>
        <oddFooter>&amp;C&amp;P/&amp;N</oddFooter>
      </headerFooter>
      <autoFilter ref="B1:M1" xr:uid="{46A5B85D-6F6E-4FC1-918E-D0FA1F0962A5}"/>
    </customSheetView>
  </customSheetViews>
  <mergeCells count="32">
    <mergeCell ref="C46:H46"/>
    <mergeCell ref="C47:H47"/>
    <mergeCell ref="C39:H39"/>
    <mergeCell ref="C40:H40"/>
    <mergeCell ref="K2:K4"/>
    <mergeCell ref="G2:G4"/>
    <mergeCell ref="F2:F4"/>
    <mergeCell ref="J2:J4"/>
    <mergeCell ref="C2:C4"/>
    <mergeCell ref="E2:E4"/>
    <mergeCell ref="H2:H4"/>
    <mergeCell ref="C42:H42"/>
    <mergeCell ref="C41:H41"/>
    <mergeCell ref="A33:A39"/>
    <mergeCell ref="B43:B44"/>
    <mergeCell ref="B11:B12"/>
    <mergeCell ref="A6:A10"/>
    <mergeCell ref="B37:B38"/>
    <mergeCell ref="B14:B16"/>
    <mergeCell ref="B6:B8"/>
    <mergeCell ref="B24:B32"/>
    <mergeCell ref="B33:B36"/>
    <mergeCell ref="A43:A47"/>
    <mergeCell ref="A40:A42"/>
    <mergeCell ref="B17:B22"/>
    <mergeCell ref="A17:A22"/>
    <mergeCell ref="A23:A32"/>
    <mergeCell ref="A1:K1"/>
    <mergeCell ref="A14:A16"/>
    <mergeCell ref="A11:A13"/>
    <mergeCell ref="A2:A4"/>
    <mergeCell ref="B2:B4"/>
  </mergeCells>
  <phoneticPr fontId="7" type="noConversion"/>
  <printOptions horizontalCentered="1"/>
  <pageMargins left="0.23622047244094491" right="0.23622047244094491" top="0.74803149606299213" bottom="0.74803149606299213" header="0.31496062992125984" footer="0.31496062992125984"/>
  <pageSetup paperSize="9" scale="92" fitToHeight="0" orientation="landscape" r:id="rId2"/>
  <headerFooter alignWithMargins="0">
    <oddHeader>&amp;LPřitažlivost/Image města a veřejný život&amp;RAkční plán rozvoje města pro období 2024-2025</oddHeader>
    <oddFooter>&amp;C&amp;P/&amp;N&amp;RVyhodnocení k 31.12.2024</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13"/>
    <pageSetUpPr fitToPage="1"/>
  </sheetPr>
  <dimension ref="A1:L243"/>
  <sheetViews>
    <sheetView topLeftCell="A73" zoomScaleNormal="100" workbookViewId="0">
      <selection activeCell="J42" sqref="J42"/>
    </sheetView>
  </sheetViews>
  <sheetFormatPr defaultRowHeight="14" x14ac:dyDescent="0.25"/>
  <cols>
    <col min="1" max="1" width="5.26953125" style="1" customWidth="1"/>
    <col min="2" max="2" width="30.1796875" style="283" customWidth="1"/>
    <col min="3" max="3" width="42" customWidth="1"/>
    <col min="4" max="4" width="7.7265625" style="4" customWidth="1"/>
    <col min="5" max="5" width="8.453125" style="4" customWidth="1"/>
    <col min="6" max="7" width="9.7265625" style="2" hidden="1" customWidth="1"/>
    <col min="8" max="8" width="8.7265625" hidden="1" customWidth="1"/>
    <col min="9" max="9" width="9.26953125" style="154" hidden="1" customWidth="1"/>
    <col min="10" max="10" width="11" style="99" customWidth="1"/>
    <col min="11" max="11" width="52.90625" style="78" customWidth="1"/>
    <col min="12" max="12" width="50.54296875" style="78" customWidth="1"/>
    <col min="13" max="13" width="9.26953125" customWidth="1"/>
  </cols>
  <sheetData>
    <row r="1" spans="1:12" ht="28" customHeight="1" thickBot="1" x14ac:dyDescent="0.5">
      <c r="A1" s="651" t="s">
        <v>78</v>
      </c>
      <c r="B1" s="652"/>
      <c r="C1" s="652"/>
      <c r="D1" s="652"/>
      <c r="E1" s="652"/>
      <c r="F1" s="652"/>
      <c r="G1" s="652"/>
      <c r="H1" s="652"/>
      <c r="I1" s="652"/>
      <c r="J1" s="652"/>
      <c r="K1" s="653"/>
      <c r="L1" s="255"/>
    </row>
    <row r="2" spans="1:12" ht="26" x14ac:dyDescent="0.3">
      <c r="A2" s="671" t="s">
        <v>101</v>
      </c>
      <c r="B2" s="663" t="s">
        <v>7</v>
      </c>
      <c r="C2" s="663" t="s">
        <v>12</v>
      </c>
      <c r="D2" s="175" t="s">
        <v>13</v>
      </c>
      <c r="E2" s="657" t="s">
        <v>19</v>
      </c>
      <c r="F2" s="666" t="s">
        <v>58</v>
      </c>
      <c r="G2" s="666" t="s">
        <v>263</v>
      </c>
      <c r="H2" s="660" t="s">
        <v>265</v>
      </c>
      <c r="I2" s="484"/>
      <c r="J2" s="657" t="s">
        <v>230</v>
      </c>
      <c r="K2" s="648" t="s">
        <v>28</v>
      </c>
      <c r="L2" s="633">
        <v>2023</v>
      </c>
    </row>
    <row r="3" spans="1:12" ht="13" x14ac:dyDescent="0.3">
      <c r="A3" s="672"/>
      <c r="B3" s="664"/>
      <c r="C3" s="664"/>
      <c r="D3" s="176" t="s">
        <v>24</v>
      </c>
      <c r="E3" s="658"/>
      <c r="F3" s="667"/>
      <c r="G3" s="667"/>
      <c r="H3" s="661"/>
      <c r="I3" s="485"/>
      <c r="J3" s="658"/>
      <c r="K3" s="649"/>
      <c r="L3" s="634"/>
    </row>
    <row r="4" spans="1:12" ht="13.5" thickBot="1" x14ac:dyDescent="0.35">
      <c r="A4" s="673"/>
      <c r="B4" s="665"/>
      <c r="C4" s="665"/>
      <c r="D4" s="203" t="s">
        <v>25</v>
      </c>
      <c r="E4" s="659"/>
      <c r="F4" s="668"/>
      <c r="G4" s="668"/>
      <c r="H4" s="662"/>
      <c r="I4" s="487"/>
      <c r="J4" s="659"/>
      <c r="K4" s="650"/>
      <c r="L4" s="635"/>
    </row>
    <row r="5" spans="1:12" ht="4.5" customHeight="1" thickBot="1" x14ac:dyDescent="0.35">
      <c r="A5" s="451"/>
      <c r="B5" s="486"/>
      <c r="C5" s="449"/>
      <c r="D5" s="203"/>
      <c r="E5" s="448"/>
      <c r="F5" s="450"/>
      <c r="G5" s="450"/>
      <c r="H5" s="447"/>
      <c r="I5" s="487"/>
      <c r="J5" s="448"/>
      <c r="K5" s="488"/>
      <c r="L5" s="460"/>
    </row>
    <row r="6" spans="1:12" ht="22" customHeight="1" x14ac:dyDescent="0.25">
      <c r="A6" s="541" t="s">
        <v>79</v>
      </c>
      <c r="B6" s="556" t="s">
        <v>257</v>
      </c>
      <c r="C6" s="299" t="s">
        <v>332</v>
      </c>
      <c r="D6" s="300" t="s">
        <v>14</v>
      </c>
      <c r="E6" s="301" t="s">
        <v>21</v>
      </c>
      <c r="F6" s="360">
        <v>7000</v>
      </c>
      <c r="G6" s="360"/>
      <c r="H6" s="39"/>
      <c r="I6" s="309" t="s">
        <v>140</v>
      </c>
      <c r="J6" s="433" t="s">
        <v>3</v>
      </c>
      <c r="K6" s="218" t="s">
        <v>551</v>
      </c>
      <c r="L6" s="214"/>
    </row>
    <row r="7" spans="1:12" ht="22" customHeight="1" x14ac:dyDescent="0.25">
      <c r="A7" s="542"/>
      <c r="B7" s="559"/>
      <c r="C7" s="341" t="s">
        <v>333</v>
      </c>
      <c r="D7" s="342" t="s">
        <v>14</v>
      </c>
      <c r="E7" s="343" t="s">
        <v>21</v>
      </c>
      <c r="F7" s="334">
        <v>1500</v>
      </c>
      <c r="G7" s="334"/>
      <c r="H7" s="56"/>
      <c r="I7" s="304"/>
      <c r="J7" s="537" t="s">
        <v>3</v>
      </c>
      <c r="K7" s="214" t="s">
        <v>552</v>
      </c>
      <c r="L7" s="214"/>
    </row>
    <row r="8" spans="1:12" ht="22" customHeight="1" x14ac:dyDescent="0.25">
      <c r="A8" s="542"/>
      <c r="B8" s="559"/>
      <c r="C8" s="341" t="s">
        <v>334</v>
      </c>
      <c r="D8" s="342" t="s">
        <v>14</v>
      </c>
      <c r="E8" s="343" t="s">
        <v>21</v>
      </c>
      <c r="F8" s="334">
        <f>27100+573.3</f>
        <v>27673.3</v>
      </c>
      <c r="G8" s="334"/>
      <c r="H8" s="56"/>
      <c r="I8" s="304" t="s">
        <v>140</v>
      </c>
      <c r="J8" s="537" t="s">
        <v>3</v>
      </c>
      <c r="K8" s="214" t="s">
        <v>553</v>
      </c>
      <c r="L8" s="153"/>
    </row>
    <row r="9" spans="1:12" ht="22" customHeight="1" x14ac:dyDescent="0.25">
      <c r="A9" s="542"/>
      <c r="B9" s="559"/>
      <c r="C9" s="341" t="s">
        <v>335</v>
      </c>
      <c r="D9" s="342" t="s">
        <v>14</v>
      </c>
      <c r="E9" s="343" t="s">
        <v>25</v>
      </c>
      <c r="F9" s="334">
        <f>457.4+3000</f>
        <v>3457.4</v>
      </c>
      <c r="G9" s="334"/>
      <c r="H9" s="56"/>
      <c r="I9" s="302" t="s">
        <v>288</v>
      </c>
      <c r="J9" s="537" t="s">
        <v>3</v>
      </c>
      <c r="K9" s="214" t="s">
        <v>552</v>
      </c>
      <c r="L9" s="214"/>
    </row>
    <row r="10" spans="1:12" ht="48" customHeight="1" x14ac:dyDescent="0.25">
      <c r="A10" s="542"/>
      <c r="B10" s="559"/>
      <c r="C10" s="341" t="s">
        <v>336</v>
      </c>
      <c r="D10" s="342" t="s">
        <v>14</v>
      </c>
      <c r="E10" s="343" t="s">
        <v>156</v>
      </c>
      <c r="F10" s="334">
        <v>1200</v>
      </c>
      <c r="G10" s="335" t="s">
        <v>323</v>
      </c>
      <c r="H10" s="56"/>
      <c r="I10" s="302" t="s">
        <v>270</v>
      </c>
      <c r="J10" s="18" t="s">
        <v>4</v>
      </c>
      <c r="K10" s="153" t="s">
        <v>474</v>
      </c>
      <c r="L10" s="153"/>
    </row>
    <row r="11" spans="1:12" ht="43.5" x14ac:dyDescent="0.25">
      <c r="A11" s="542"/>
      <c r="B11" s="559"/>
      <c r="C11" s="341" t="s">
        <v>337</v>
      </c>
      <c r="D11" s="342" t="s">
        <v>17</v>
      </c>
      <c r="E11" s="344" t="s">
        <v>293</v>
      </c>
      <c r="F11" s="336">
        <v>110</v>
      </c>
      <c r="G11" s="336">
        <v>5000</v>
      </c>
      <c r="H11" s="337"/>
      <c r="I11" s="302" t="s">
        <v>314</v>
      </c>
      <c r="J11" s="537" t="s">
        <v>3</v>
      </c>
      <c r="K11" s="220" t="s">
        <v>439</v>
      </c>
      <c r="L11" s="428" t="s">
        <v>476</v>
      </c>
    </row>
    <row r="12" spans="1:12" ht="22" customHeight="1" x14ac:dyDescent="0.25">
      <c r="A12" s="542"/>
      <c r="B12" s="559"/>
      <c r="C12" s="341" t="s">
        <v>338</v>
      </c>
      <c r="D12" s="342" t="s">
        <v>14</v>
      </c>
      <c r="E12" s="343" t="s">
        <v>21</v>
      </c>
      <c r="F12" s="338">
        <f>8000+83.5</f>
        <v>8083.5</v>
      </c>
      <c r="G12" s="338"/>
      <c r="H12" s="21"/>
      <c r="I12" s="304" t="s">
        <v>140</v>
      </c>
      <c r="J12" s="537" t="s">
        <v>3</v>
      </c>
      <c r="K12" s="214" t="s">
        <v>551</v>
      </c>
      <c r="L12" s="214"/>
    </row>
    <row r="13" spans="1:12" ht="22" customHeight="1" x14ac:dyDescent="0.25">
      <c r="A13" s="542"/>
      <c r="B13" s="559"/>
      <c r="C13" s="345" t="s">
        <v>339</v>
      </c>
      <c r="D13" s="346" t="s">
        <v>14</v>
      </c>
      <c r="E13" s="347" t="s">
        <v>21</v>
      </c>
      <c r="F13" s="339">
        <v>5000</v>
      </c>
      <c r="G13" s="336"/>
      <c r="H13" s="22"/>
      <c r="I13" s="304" t="s">
        <v>140</v>
      </c>
      <c r="J13" s="537" t="s">
        <v>3</v>
      </c>
      <c r="K13" s="214" t="s">
        <v>551</v>
      </c>
      <c r="L13" s="215"/>
    </row>
    <row r="14" spans="1:12" ht="22" customHeight="1" x14ac:dyDescent="0.25">
      <c r="A14" s="542"/>
      <c r="B14" s="559"/>
      <c r="C14" s="345" t="s">
        <v>340</v>
      </c>
      <c r="D14" s="346" t="s">
        <v>14</v>
      </c>
      <c r="E14" s="347" t="s">
        <v>21</v>
      </c>
      <c r="F14" s="339">
        <v>4000</v>
      </c>
      <c r="G14" s="336"/>
      <c r="H14" s="22"/>
      <c r="I14" s="304" t="s">
        <v>140</v>
      </c>
      <c r="J14" s="537" t="s">
        <v>3</v>
      </c>
      <c r="K14" s="215" t="s">
        <v>554</v>
      </c>
      <c r="L14" s="215"/>
    </row>
    <row r="15" spans="1:12" ht="58" x14ac:dyDescent="0.25">
      <c r="A15" s="542"/>
      <c r="B15" s="559"/>
      <c r="C15" s="341" t="s">
        <v>400</v>
      </c>
      <c r="D15" s="342" t="s">
        <v>26</v>
      </c>
      <c r="E15" s="343" t="s">
        <v>25</v>
      </c>
      <c r="F15" s="336">
        <v>4500</v>
      </c>
      <c r="G15" s="336"/>
      <c r="H15" s="340"/>
      <c r="I15" s="302" t="s">
        <v>322</v>
      </c>
      <c r="J15" s="18" t="s">
        <v>4</v>
      </c>
      <c r="K15" s="153" t="s">
        <v>528</v>
      </c>
      <c r="L15" s="153"/>
    </row>
    <row r="16" spans="1:12" ht="43.5" x14ac:dyDescent="0.25">
      <c r="A16" s="542"/>
      <c r="B16" s="559"/>
      <c r="C16" s="341" t="s">
        <v>341</v>
      </c>
      <c r="D16" s="342" t="s">
        <v>17</v>
      </c>
      <c r="E16" s="343" t="s">
        <v>245</v>
      </c>
      <c r="F16" s="334">
        <v>108.9</v>
      </c>
      <c r="G16" s="334">
        <v>14000</v>
      </c>
      <c r="H16" s="56"/>
      <c r="I16" s="304" t="s">
        <v>140</v>
      </c>
      <c r="J16" s="18" t="s">
        <v>4</v>
      </c>
      <c r="K16" s="214" t="s">
        <v>440</v>
      </c>
      <c r="L16" s="214"/>
    </row>
    <row r="17" spans="1:12" ht="32.25" customHeight="1" x14ac:dyDescent="0.25">
      <c r="A17" s="542"/>
      <c r="B17" s="559"/>
      <c r="C17" s="341" t="s">
        <v>342</v>
      </c>
      <c r="D17" s="342" t="s">
        <v>14</v>
      </c>
      <c r="E17" s="343" t="s">
        <v>21</v>
      </c>
      <c r="F17" s="338"/>
      <c r="G17" s="338"/>
      <c r="H17" s="56"/>
      <c r="I17" s="155"/>
      <c r="J17" s="18" t="s">
        <v>4</v>
      </c>
      <c r="K17" s="214" t="s">
        <v>475</v>
      </c>
      <c r="L17" s="214"/>
    </row>
    <row r="18" spans="1:12" ht="30" customHeight="1" x14ac:dyDescent="0.25">
      <c r="A18" s="542"/>
      <c r="B18" s="559"/>
      <c r="C18" s="341" t="s">
        <v>343</v>
      </c>
      <c r="D18" s="342" t="s">
        <v>17</v>
      </c>
      <c r="E18" s="344" t="s">
        <v>331</v>
      </c>
      <c r="F18" s="338">
        <v>250</v>
      </c>
      <c r="G18" s="338">
        <v>10000</v>
      </c>
      <c r="H18" s="21"/>
      <c r="I18" s="302" t="s">
        <v>314</v>
      </c>
      <c r="J18" s="18" t="s">
        <v>4</v>
      </c>
      <c r="K18" s="214" t="s">
        <v>441</v>
      </c>
      <c r="L18" s="214"/>
    </row>
    <row r="19" spans="1:12" ht="30" customHeight="1" thickBot="1" x14ac:dyDescent="0.3">
      <c r="A19" s="543"/>
      <c r="B19" s="557"/>
      <c r="C19" s="377" t="s">
        <v>344</v>
      </c>
      <c r="D19" s="523" t="s">
        <v>17</v>
      </c>
      <c r="E19" s="378" t="s">
        <v>21</v>
      </c>
      <c r="F19" s="379">
        <f>250 + 3000</f>
        <v>3250</v>
      </c>
      <c r="G19" s="524"/>
      <c r="H19" s="38"/>
      <c r="I19" s="525" t="s">
        <v>288</v>
      </c>
      <c r="J19" s="72" t="s">
        <v>4</v>
      </c>
      <c r="K19" s="216" t="s">
        <v>442</v>
      </c>
      <c r="L19" s="214"/>
    </row>
    <row r="20" spans="1:12" ht="105.5" customHeight="1" x14ac:dyDescent="0.25">
      <c r="A20" s="541" t="s">
        <v>79</v>
      </c>
      <c r="B20" s="669" t="s">
        <v>80</v>
      </c>
      <c r="C20" s="33" t="s">
        <v>347</v>
      </c>
      <c r="D20" s="34" t="s">
        <v>17</v>
      </c>
      <c r="E20" s="58" t="s">
        <v>23</v>
      </c>
      <c r="F20" s="44"/>
      <c r="G20" s="35">
        <v>250</v>
      </c>
      <c r="H20" s="132" t="s">
        <v>315</v>
      </c>
      <c r="I20" s="208"/>
      <c r="J20" s="34" t="s">
        <v>4</v>
      </c>
      <c r="K20" s="218" t="s">
        <v>518</v>
      </c>
      <c r="L20" s="218"/>
    </row>
    <row r="21" spans="1:12" ht="44" thickBot="1" x14ac:dyDescent="0.3">
      <c r="A21" s="543"/>
      <c r="B21" s="670"/>
      <c r="C21" s="134" t="s">
        <v>348</v>
      </c>
      <c r="D21" s="72" t="s">
        <v>17</v>
      </c>
      <c r="E21" s="73" t="s">
        <v>23</v>
      </c>
      <c r="F21" s="59"/>
      <c r="G21" s="59"/>
      <c r="H21" s="135" t="s">
        <v>315</v>
      </c>
      <c r="I21" s="207"/>
      <c r="J21" s="72" t="s">
        <v>4</v>
      </c>
      <c r="K21" s="216" t="s">
        <v>443</v>
      </c>
      <c r="L21" s="214"/>
    </row>
    <row r="22" spans="1:12" ht="29" customHeight="1" x14ac:dyDescent="0.25">
      <c r="A22" s="654" t="s">
        <v>81</v>
      </c>
      <c r="B22" s="645" t="s">
        <v>82</v>
      </c>
      <c r="C22" s="57" t="s">
        <v>119</v>
      </c>
      <c r="D22" s="12" t="s">
        <v>17</v>
      </c>
      <c r="E22" s="24" t="s">
        <v>283</v>
      </c>
      <c r="F22" s="13"/>
      <c r="G22" s="13">
        <v>450</v>
      </c>
      <c r="H22" s="23" t="s">
        <v>315</v>
      </c>
      <c r="I22" s="210"/>
      <c r="J22" s="209" t="s">
        <v>5</v>
      </c>
      <c r="K22" s="218" t="s">
        <v>444</v>
      </c>
      <c r="L22" s="218"/>
    </row>
    <row r="23" spans="1:12" ht="29" x14ac:dyDescent="0.25">
      <c r="A23" s="655"/>
      <c r="B23" s="646"/>
      <c r="C23" s="341" t="s">
        <v>345</v>
      </c>
      <c r="D23" s="342" t="s">
        <v>17</v>
      </c>
      <c r="E23" s="343" t="s">
        <v>25</v>
      </c>
      <c r="F23" s="334">
        <f>500+167</f>
        <v>667</v>
      </c>
      <c r="G23" s="334">
        <v>670</v>
      </c>
      <c r="H23" s="348" t="s">
        <v>315</v>
      </c>
      <c r="I23" s="157" t="s">
        <v>140</v>
      </c>
      <c r="J23" s="537" t="s">
        <v>3</v>
      </c>
      <c r="K23" s="214" t="s">
        <v>429</v>
      </c>
      <c r="L23" s="214"/>
    </row>
    <row r="24" spans="1:12" ht="43.5" x14ac:dyDescent="0.25">
      <c r="A24" s="655"/>
      <c r="B24" s="646"/>
      <c r="C24" s="341" t="s">
        <v>346</v>
      </c>
      <c r="D24" s="342" t="s">
        <v>17</v>
      </c>
      <c r="E24" s="343" t="s">
        <v>25</v>
      </c>
      <c r="F24" s="334">
        <v>1100</v>
      </c>
      <c r="G24" s="349">
        <v>1100</v>
      </c>
      <c r="H24" s="348" t="s">
        <v>315</v>
      </c>
      <c r="I24" s="302" t="s">
        <v>270</v>
      </c>
      <c r="J24" s="537" t="s">
        <v>3</v>
      </c>
      <c r="K24" s="214" t="s">
        <v>428</v>
      </c>
      <c r="L24" s="214"/>
    </row>
    <row r="25" spans="1:12" ht="44" thickBot="1" x14ac:dyDescent="0.3">
      <c r="A25" s="655"/>
      <c r="B25" s="647"/>
      <c r="C25" s="82" t="s">
        <v>121</v>
      </c>
      <c r="D25" s="60" t="s">
        <v>17</v>
      </c>
      <c r="E25" s="61" t="s">
        <v>25</v>
      </c>
      <c r="F25" s="47">
        <v>120</v>
      </c>
      <c r="G25" s="47"/>
      <c r="H25" s="38" t="s">
        <v>315</v>
      </c>
      <c r="I25" s="211"/>
      <c r="J25" s="498" t="s">
        <v>3</v>
      </c>
      <c r="K25" s="214" t="s">
        <v>429</v>
      </c>
      <c r="L25" s="216"/>
    </row>
    <row r="26" spans="1:12" ht="65.5" customHeight="1" thickBot="1" x14ac:dyDescent="0.3">
      <c r="A26" s="655"/>
      <c r="B26" s="279" t="s">
        <v>83</v>
      </c>
      <c r="C26" s="134" t="s">
        <v>304</v>
      </c>
      <c r="D26" s="72" t="s">
        <v>17</v>
      </c>
      <c r="E26" s="73" t="s">
        <v>349</v>
      </c>
      <c r="F26" s="59">
        <v>300</v>
      </c>
      <c r="G26" s="59">
        <v>300</v>
      </c>
      <c r="H26" s="132" t="s">
        <v>315</v>
      </c>
      <c r="I26" s="303" t="s">
        <v>270</v>
      </c>
      <c r="J26" s="538" t="s">
        <v>3</v>
      </c>
      <c r="K26" s="217" t="s">
        <v>427</v>
      </c>
      <c r="L26" s="217"/>
    </row>
    <row r="27" spans="1:12" ht="93" customHeight="1" thickBot="1" x14ac:dyDescent="0.3">
      <c r="A27" s="656"/>
      <c r="B27" s="526" t="s">
        <v>215</v>
      </c>
      <c r="C27" s="253" t="s">
        <v>402</v>
      </c>
      <c r="D27" s="189" t="s">
        <v>17</v>
      </c>
      <c r="E27" s="329" t="s">
        <v>247</v>
      </c>
      <c r="F27" s="333">
        <f>200+119</f>
        <v>319</v>
      </c>
      <c r="G27" s="333"/>
      <c r="H27" s="527" t="s">
        <v>315</v>
      </c>
      <c r="I27" s="457" t="s">
        <v>140</v>
      </c>
      <c r="J27" s="186" t="s">
        <v>4</v>
      </c>
      <c r="K27" s="217" t="s">
        <v>446</v>
      </c>
      <c r="L27" s="214"/>
    </row>
    <row r="28" spans="1:12" ht="67.5" customHeight="1" x14ac:dyDescent="0.25">
      <c r="A28" s="654" t="s">
        <v>81</v>
      </c>
      <c r="B28" s="556" t="s">
        <v>215</v>
      </c>
      <c r="C28" s="191" t="s">
        <v>401</v>
      </c>
      <c r="D28" s="192" t="s">
        <v>253</v>
      </c>
      <c r="E28" s="193" t="s">
        <v>350</v>
      </c>
      <c r="F28" s="194"/>
      <c r="G28" s="194"/>
      <c r="H28" s="195" t="s">
        <v>315</v>
      </c>
      <c r="I28" s="210"/>
      <c r="J28" s="209" t="s">
        <v>5</v>
      </c>
      <c r="K28" s="245" t="s">
        <v>445</v>
      </c>
      <c r="L28" s="214"/>
    </row>
    <row r="29" spans="1:12" ht="43.5" x14ac:dyDescent="0.25">
      <c r="A29" s="655"/>
      <c r="B29" s="559"/>
      <c r="C29" s="136" t="s">
        <v>118</v>
      </c>
      <c r="D29" s="16" t="s">
        <v>17</v>
      </c>
      <c r="E29" s="26" t="s">
        <v>283</v>
      </c>
      <c r="F29" s="30"/>
      <c r="G29" s="30">
        <v>480</v>
      </c>
      <c r="H29" s="22"/>
      <c r="I29" s="158"/>
      <c r="J29" s="107" t="s">
        <v>5</v>
      </c>
      <c r="K29" s="214" t="s">
        <v>477</v>
      </c>
      <c r="L29" s="427" t="s">
        <v>476</v>
      </c>
    </row>
    <row r="30" spans="1:12" ht="43.5" x14ac:dyDescent="0.25">
      <c r="A30" s="655"/>
      <c r="B30" s="559"/>
      <c r="C30" s="136" t="s">
        <v>115</v>
      </c>
      <c r="D30" s="16" t="s">
        <v>17</v>
      </c>
      <c r="E30" s="26" t="s">
        <v>23</v>
      </c>
      <c r="F30" s="30">
        <v>600</v>
      </c>
      <c r="G30" s="335" t="s">
        <v>323</v>
      </c>
      <c r="H30" s="22" t="s">
        <v>315</v>
      </c>
      <c r="I30" s="159" t="s">
        <v>140</v>
      </c>
      <c r="J30" s="101" t="s">
        <v>4</v>
      </c>
      <c r="K30" s="214" t="s">
        <v>430</v>
      </c>
      <c r="L30" s="214"/>
    </row>
    <row r="31" spans="1:12" ht="24" x14ac:dyDescent="0.25">
      <c r="A31" s="655"/>
      <c r="B31" s="559"/>
      <c r="C31" s="136" t="s">
        <v>246</v>
      </c>
      <c r="D31" s="16" t="s">
        <v>14</v>
      </c>
      <c r="E31" s="26" t="s">
        <v>21</v>
      </c>
      <c r="F31" s="30">
        <v>2300</v>
      </c>
      <c r="G31" s="30"/>
      <c r="H31" s="22" t="s">
        <v>315</v>
      </c>
      <c r="I31" s="159" t="s">
        <v>140</v>
      </c>
      <c r="J31" s="537" t="s">
        <v>3</v>
      </c>
      <c r="K31" s="214" t="s">
        <v>555</v>
      </c>
      <c r="L31" s="214"/>
    </row>
    <row r="32" spans="1:12" ht="29" x14ac:dyDescent="0.25">
      <c r="A32" s="655"/>
      <c r="B32" s="559"/>
      <c r="C32" s="136" t="s">
        <v>352</v>
      </c>
      <c r="D32" s="16" t="s">
        <v>14</v>
      </c>
      <c r="E32" s="26" t="s">
        <v>21</v>
      </c>
      <c r="F32" s="30">
        <v>1000</v>
      </c>
      <c r="G32" s="30"/>
      <c r="H32" s="22"/>
      <c r="I32" s="159"/>
      <c r="J32" s="537" t="s">
        <v>3</v>
      </c>
      <c r="K32" s="214" t="s">
        <v>556</v>
      </c>
      <c r="L32" s="214"/>
    </row>
    <row r="33" spans="1:12" ht="58.5" thickBot="1" x14ac:dyDescent="0.3">
      <c r="A33" s="655"/>
      <c r="B33" s="557"/>
      <c r="C33" s="403" t="s">
        <v>179</v>
      </c>
      <c r="D33" s="60" t="s">
        <v>17</v>
      </c>
      <c r="E33" s="61" t="s">
        <v>180</v>
      </c>
      <c r="F33" s="37"/>
      <c r="G33" s="37"/>
      <c r="H33" s="38"/>
      <c r="I33" s="156"/>
      <c r="J33" s="204" t="s">
        <v>4</v>
      </c>
      <c r="K33" s="214" t="s">
        <v>447</v>
      </c>
      <c r="L33" s="214"/>
    </row>
    <row r="34" spans="1:12" ht="72.5" x14ac:dyDescent="0.25">
      <c r="A34" s="655"/>
      <c r="B34" s="639" t="s">
        <v>84</v>
      </c>
      <c r="C34" s="62" t="s">
        <v>32</v>
      </c>
      <c r="D34" s="34" t="s">
        <v>26</v>
      </c>
      <c r="E34" s="58" t="s">
        <v>22</v>
      </c>
      <c r="F34" s="44">
        <f>200+60</f>
        <v>260</v>
      </c>
      <c r="G34" s="44"/>
      <c r="H34" s="132" t="s">
        <v>300</v>
      </c>
      <c r="I34" s="157" t="s">
        <v>140</v>
      </c>
      <c r="J34" s="419" t="s">
        <v>4</v>
      </c>
      <c r="K34" s="218" t="s">
        <v>478</v>
      </c>
      <c r="L34" s="218"/>
    </row>
    <row r="35" spans="1:12" ht="44" thickBot="1" x14ac:dyDescent="0.3">
      <c r="A35" s="655"/>
      <c r="B35" s="640"/>
      <c r="C35" s="20" t="s">
        <v>111</v>
      </c>
      <c r="D35" s="18" t="s">
        <v>17</v>
      </c>
      <c r="E35" s="27" t="s">
        <v>21</v>
      </c>
      <c r="F35" s="19">
        <v>19000</v>
      </c>
      <c r="G35" s="19"/>
      <c r="H35" s="133" t="s">
        <v>300</v>
      </c>
      <c r="I35" s="157" t="s">
        <v>140</v>
      </c>
      <c r="J35" s="537" t="s">
        <v>3</v>
      </c>
      <c r="K35" s="214" t="s">
        <v>426</v>
      </c>
      <c r="L35" s="216"/>
    </row>
    <row r="36" spans="1:12" ht="43.5" x14ac:dyDescent="0.25">
      <c r="A36" s="655"/>
      <c r="B36" s="640"/>
      <c r="C36" s="20" t="s">
        <v>33</v>
      </c>
      <c r="D36" s="18" t="s">
        <v>26</v>
      </c>
      <c r="E36" s="27" t="s">
        <v>31</v>
      </c>
      <c r="F36" s="17"/>
      <c r="G36" s="17"/>
      <c r="H36" s="133" t="s">
        <v>300</v>
      </c>
      <c r="I36" s="210"/>
      <c r="J36" s="204" t="s">
        <v>4</v>
      </c>
      <c r="K36" s="219" t="s">
        <v>563</v>
      </c>
      <c r="L36" s="218"/>
    </row>
    <row r="37" spans="1:12" ht="44" thickBot="1" x14ac:dyDescent="0.3">
      <c r="A37" s="656"/>
      <c r="B37" s="641"/>
      <c r="C37" s="134" t="s">
        <v>38</v>
      </c>
      <c r="D37" s="72" t="s">
        <v>14</v>
      </c>
      <c r="E37" s="73" t="s">
        <v>25</v>
      </c>
      <c r="F37" s="59">
        <v>1310</v>
      </c>
      <c r="G37" s="59"/>
      <c r="H37" s="135" t="s">
        <v>300</v>
      </c>
      <c r="I37" s="305" t="s">
        <v>140</v>
      </c>
      <c r="J37" s="498" t="s">
        <v>3</v>
      </c>
      <c r="K37" s="216" t="s">
        <v>557</v>
      </c>
      <c r="L37" s="214"/>
    </row>
    <row r="38" spans="1:12" ht="68.5" customHeight="1" x14ac:dyDescent="0.25">
      <c r="A38" s="654" t="s">
        <v>81</v>
      </c>
      <c r="B38" s="639" t="s">
        <v>84</v>
      </c>
      <c r="C38" s="389" t="s">
        <v>351</v>
      </c>
      <c r="D38" s="34" t="s">
        <v>17</v>
      </c>
      <c r="E38" s="58" t="s">
        <v>350</v>
      </c>
      <c r="F38" s="529"/>
      <c r="G38" s="529"/>
      <c r="H38" s="530"/>
      <c r="I38" s="210"/>
      <c r="J38" s="34" t="s">
        <v>4</v>
      </c>
      <c r="K38" s="218" t="s">
        <v>479</v>
      </c>
      <c r="L38" s="422"/>
    </row>
    <row r="39" spans="1:12" ht="31.5" x14ac:dyDescent="0.25">
      <c r="A39" s="655"/>
      <c r="B39" s="640"/>
      <c r="C39" s="20" t="s">
        <v>212</v>
      </c>
      <c r="D39" s="18" t="s">
        <v>17</v>
      </c>
      <c r="E39" s="27" t="s">
        <v>178</v>
      </c>
      <c r="F39" s="112">
        <v>900</v>
      </c>
      <c r="G39" s="350" t="s">
        <v>323</v>
      </c>
      <c r="H39" s="151" t="s">
        <v>300</v>
      </c>
      <c r="I39" s="157" t="s">
        <v>140</v>
      </c>
      <c r="J39" s="18" t="s">
        <v>4</v>
      </c>
      <c r="K39" s="220" t="s">
        <v>520</v>
      </c>
      <c r="L39" s="422"/>
    </row>
    <row r="40" spans="1:12" ht="73" thickBot="1" x14ac:dyDescent="0.3">
      <c r="A40" s="656"/>
      <c r="B40" s="641"/>
      <c r="C40" s="134" t="s">
        <v>142</v>
      </c>
      <c r="D40" s="72" t="s">
        <v>14</v>
      </c>
      <c r="E40" s="73" t="s">
        <v>178</v>
      </c>
      <c r="F40" s="59">
        <v>150</v>
      </c>
      <c r="G40" s="59"/>
      <c r="H40" s="135" t="s">
        <v>300</v>
      </c>
      <c r="I40" s="305" t="s">
        <v>140</v>
      </c>
      <c r="J40" s="206" t="s">
        <v>5</v>
      </c>
      <c r="K40" s="216" t="s">
        <v>529</v>
      </c>
      <c r="L40" s="528"/>
    </row>
    <row r="41" spans="1:12" ht="29" x14ac:dyDescent="0.25">
      <c r="A41" s="541" t="s">
        <v>85</v>
      </c>
      <c r="B41" s="645" t="s">
        <v>269</v>
      </c>
      <c r="C41" s="404" t="s">
        <v>409</v>
      </c>
      <c r="D41" s="405" t="s">
        <v>14</v>
      </c>
      <c r="E41" s="406" t="s">
        <v>25</v>
      </c>
      <c r="F41" s="407">
        <v>4700</v>
      </c>
      <c r="G41" s="407"/>
      <c r="H41" s="408" t="s">
        <v>398</v>
      </c>
      <c r="I41" s="159" t="s">
        <v>140</v>
      </c>
      <c r="J41" s="537" t="s">
        <v>3</v>
      </c>
      <c r="K41" s="214" t="s">
        <v>480</v>
      </c>
      <c r="L41" s="214"/>
    </row>
    <row r="42" spans="1:12" ht="29" x14ac:dyDescent="0.25">
      <c r="A42" s="542"/>
      <c r="B42" s="646"/>
      <c r="C42" s="164" t="s">
        <v>268</v>
      </c>
      <c r="D42" s="162" t="s">
        <v>14</v>
      </c>
      <c r="E42" s="165" t="s">
        <v>25</v>
      </c>
      <c r="F42" s="166">
        <v>2000</v>
      </c>
      <c r="G42" s="166"/>
      <c r="H42" s="167" t="s">
        <v>398</v>
      </c>
      <c r="I42" s="159" t="s">
        <v>140</v>
      </c>
      <c r="J42" s="18" t="s">
        <v>4</v>
      </c>
      <c r="K42" s="214" t="s">
        <v>530</v>
      </c>
      <c r="L42" s="214"/>
    </row>
    <row r="43" spans="1:12" ht="29.5" thickBot="1" x14ac:dyDescent="0.3">
      <c r="A43" s="542"/>
      <c r="B43" s="647"/>
      <c r="C43" s="11" t="s">
        <v>157</v>
      </c>
      <c r="D43" s="531" t="s">
        <v>14</v>
      </c>
      <c r="E43" s="532" t="s">
        <v>178</v>
      </c>
      <c r="F43" s="388">
        <v>500</v>
      </c>
      <c r="G43" s="388"/>
      <c r="H43" s="533" t="s">
        <v>398</v>
      </c>
      <c r="I43" s="534" t="s">
        <v>140</v>
      </c>
      <c r="J43" s="101" t="s">
        <v>4</v>
      </c>
      <c r="K43" s="215" t="s">
        <v>481</v>
      </c>
      <c r="L43" s="216"/>
    </row>
    <row r="44" spans="1:12" ht="59.5" customHeight="1" thickBot="1" x14ac:dyDescent="0.3">
      <c r="A44" s="542"/>
      <c r="B44" s="639" t="s">
        <v>210</v>
      </c>
      <c r="C44" s="62" t="s">
        <v>353</v>
      </c>
      <c r="D44" s="34" t="s">
        <v>17</v>
      </c>
      <c r="E44" s="58" t="s">
        <v>254</v>
      </c>
      <c r="F44" s="35">
        <v>1000</v>
      </c>
      <c r="G44" s="44"/>
      <c r="H44" s="132" t="s">
        <v>398</v>
      </c>
      <c r="I44" s="535" t="s">
        <v>140</v>
      </c>
      <c r="J44" s="34" t="s">
        <v>4</v>
      </c>
      <c r="K44" s="218" t="s">
        <v>521</v>
      </c>
      <c r="L44" s="423"/>
    </row>
    <row r="45" spans="1:12" ht="58" x14ac:dyDescent="0.25">
      <c r="A45" s="542"/>
      <c r="B45" s="640"/>
      <c r="C45" s="20" t="s">
        <v>39</v>
      </c>
      <c r="D45" s="18" t="s">
        <v>14</v>
      </c>
      <c r="E45" s="27" t="s">
        <v>180</v>
      </c>
      <c r="F45" s="19"/>
      <c r="G45" s="19"/>
      <c r="H45" s="133" t="s">
        <v>398</v>
      </c>
      <c r="I45" s="156"/>
      <c r="J45" s="18" t="s">
        <v>4</v>
      </c>
      <c r="K45" s="214" t="s">
        <v>531</v>
      </c>
      <c r="L45" s="311"/>
    </row>
    <row r="46" spans="1:12" ht="58" x14ac:dyDescent="0.25">
      <c r="A46" s="542"/>
      <c r="B46" s="640"/>
      <c r="C46" s="20" t="s">
        <v>354</v>
      </c>
      <c r="D46" s="18" t="s">
        <v>114</v>
      </c>
      <c r="E46" s="27" t="s">
        <v>180</v>
      </c>
      <c r="F46" s="19"/>
      <c r="G46" s="17"/>
      <c r="H46" s="133" t="s">
        <v>398</v>
      </c>
      <c r="I46" s="156"/>
      <c r="J46" s="18" t="s">
        <v>4</v>
      </c>
      <c r="K46" s="214" t="s">
        <v>448</v>
      </c>
      <c r="L46" s="214"/>
    </row>
    <row r="47" spans="1:12" ht="44" thickBot="1" x14ac:dyDescent="0.3">
      <c r="A47" s="543"/>
      <c r="B47" s="641"/>
      <c r="C47" s="134" t="s">
        <v>356</v>
      </c>
      <c r="D47" s="72" t="s">
        <v>17</v>
      </c>
      <c r="E47" s="73" t="s">
        <v>248</v>
      </c>
      <c r="F47" s="226">
        <v>3500</v>
      </c>
      <c r="G47" s="226">
        <v>150000</v>
      </c>
      <c r="H47" s="135" t="s">
        <v>398</v>
      </c>
      <c r="I47" s="305" t="s">
        <v>140</v>
      </c>
      <c r="J47" s="72" t="s">
        <v>4</v>
      </c>
      <c r="K47" s="216" t="s">
        <v>431</v>
      </c>
      <c r="L47" s="216"/>
    </row>
    <row r="48" spans="1:12" ht="29.5" thickBot="1" x14ac:dyDescent="0.3">
      <c r="A48" s="541" t="s">
        <v>85</v>
      </c>
      <c r="B48" s="645" t="s">
        <v>86</v>
      </c>
      <c r="C48" s="57" t="s">
        <v>355</v>
      </c>
      <c r="D48" s="12" t="s">
        <v>160</v>
      </c>
      <c r="E48" s="24" t="s">
        <v>110</v>
      </c>
      <c r="F48" s="124">
        <f>97+850</f>
        <v>947</v>
      </c>
      <c r="G48" s="124"/>
      <c r="H48" s="126"/>
      <c r="I48" s="305" t="s">
        <v>140</v>
      </c>
      <c r="J48" s="34" t="s">
        <v>4</v>
      </c>
      <c r="K48" s="218" t="s">
        <v>519</v>
      </c>
      <c r="L48" s="218"/>
    </row>
    <row r="49" spans="1:12" ht="47" customHeight="1" thickBot="1" x14ac:dyDescent="0.3">
      <c r="A49" s="542"/>
      <c r="B49" s="647"/>
      <c r="C49" s="82" t="s">
        <v>220</v>
      </c>
      <c r="D49" s="60" t="s">
        <v>17</v>
      </c>
      <c r="E49" s="61" t="s">
        <v>122</v>
      </c>
      <c r="F49" s="47"/>
      <c r="G49" s="127"/>
      <c r="H49" s="121"/>
      <c r="I49" s="223"/>
      <c r="J49" s="498" t="s">
        <v>3</v>
      </c>
      <c r="K49" s="216" t="s">
        <v>532</v>
      </c>
      <c r="L49" s="216"/>
    </row>
    <row r="50" spans="1:12" ht="43.5" x14ac:dyDescent="0.25">
      <c r="A50" s="542"/>
      <c r="B50" s="640" t="s">
        <v>87</v>
      </c>
      <c r="C50" s="62" t="s">
        <v>360</v>
      </c>
      <c r="D50" s="34" t="s">
        <v>222</v>
      </c>
      <c r="E50" s="58" t="s">
        <v>223</v>
      </c>
      <c r="F50" s="35"/>
      <c r="G50" s="35"/>
      <c r="H50" s="132" t="s">
        <v>398</v>
      </c>
      <c r="I50" s="456"/>
      <c r="J50" s="34" t="s">
        <v>4</v>
      </c>
      <c r="K50" s="245" t="s">
        <v>533</v>
      </c>
      <c r="L50" s="454"/>
    </row>
    <row r="51" spans="1:12" ht="90" customHeight="1" thickBot="1" x14ac:dyDescent="0.3">
      <c r="A51" s="542"/>
      <c r="B51" s="640"/>
      <c r="C51" s="353" t="s">
        <v>358</v>
      </c>
      <c r="D51" s="199" t="s">
        <v>224</v>
      </c>
      <c r="E51" s="200" t="s">
        <v>225</v>
      </c>
      <c r="F51" s="201"/>
      <c r="G51" s="201"/>
      <c r="H51" s="202" t="s">
        <v>273</v>
      </c>
      <c r="I51" s="160"/>
      <c r="J51" s="537" t="s">
        <v>3</v>
      </c>
      <c r="K51" s="214" t="s">
        <v>511</v>
      </c>
      <c r="L51" s="422"/>
    </row>
    <row r="52" spans="1:12" ht="29.5" thickBot="1" x14ac:dyDescent="0.3">
      <c r="A52" s="543"/>
      <c r="B52" s="641"/>
      <c r="C52" s="409" t="s">
        <v>357</v>
      </c>
      <c r="D52" s="72" t="s">
        <v>14</v>
      </c>
      <c r="E52" s="73" t="s">
        <v>25</v>
      </c>
      <c r="F52" s="59">
        <v>1900</v>
      </c>
      <c r="G52" s="59"/>
      <c r="H52" s="135"/>
      <c r="I52" s="457" t="s">
        <v>140</v>
      </c>
      <c r="J52" s="498" t="s">
        <v>3</v>
      </c>
      <c r="K52" s="216" t="s">
        <v>557</v>
      </c>
      <c r="L52" s="455"/>
    </row>
    <row r="53" spans="1:12" ht="44" thickBot="1" x14ac:dyDescent="0.3">
      <c r="A53" s="541" t="s">
        <v>221</v>
      </c>
      <c r="B53" s="556" t="s">
        <v>88</v>
      </c>
      <c r="C53" s="57" t="s">
        <v>318</v>
      </c>
      <c r="D53" s="12" t="s">
        <v>17</v>
      </c>
      <c r="E53" s="24" t="s">
        <v>317</v>
      </c>
      <c r="F53" s="43">
        <v>380</v>
      </c>
      <c r="G53" s="125"/>
      <c r="H53" s="126"/>
      <c r="I53" s="224" t="s">
        <v>140</v>
      </c>
      <c r="J53" s="209" t="s">
        <v>5</v>
      </c>
      <c r="K53" s="218" t="s">
        <v>438</v>
      </c>
      <c r="L53" s="218" t="s">
        <v>231</v>
      </c>
    </row>
    <row r="54" spans="1:12" ht="32.5" customHeight="1" thickBot="1" x14ac:dyDescent="0.3">
      <c r="A54" s="542"/>
      <c r="B54" s="559"/>
      <c r="C54" s="354" t="s">
        <v>359</v>
      </c>
      <c r="D54" s="342" t="s">
        <v>17</v>
      </c>
      <c r="E54" s="343" t="s">
        <v>31</v>
      </c>
      <c r="F54" s="328">
        <v>2700</v>
      </c>
      <c r="G54" s="36"/>
      <c r="H54" s="56"/>
      <c r="I54" s="224" t="s">
        <v>140</v>
      </c>
      <c r="J54" s="101" t="s">
        <v>4</v>
      </c>
      <c r="K54" s="220" t="s">
        <v>458</v>
      </c>
      <c r="L54" s="249"/>
    </row>
    <row r="55" spans="1:12" ht="61" customHeight="1" thickBot="1" x14ac:dyDescent="0.3">
      <c r="A55" s="542"/>
      <c r="B55" s="559"/>
      <c r="C55" s="355" t="s">
        <v>34</v>
      </c>
      <c r="D55" s="14" t="s">
        <v>29</v>
      </c>
      <c r="E55" s="25" t="s">
        <v>21</v>
      </c>
      <c r="F55" s="15"/>
      <c r="G55" s="15"/>
      <c r="H55" s="21"/>
      <c r="I55" s="210"/>
      <c r="J55" s="72" t="s">
        <v>4</v>
      </c>
      <c r="K55" s="216" t="s">
        <v>534</v>
      </c>
      <c r="L55" s="218"/>
    </row>
    <row r="56" spans="1:12" ht="92" customHeight="1" thickBot="1" x14ac:dyDescent="0.3">
      <c r="A56" s="543"/>
      <c r="B56" s="280" t="s">
        <v>89</v>
      </c>
      <c r="C56" s="185" t="s">
        <v>410</v>
      </c>
      <c r="D56" s="186" t="s">
        <v>14</v>
      </c>
      <c r="E56" s="187" t="s">
        <v>25</v>
      </c>
      <c r="F56" s="197">
        <v>9000</v>
      </c>
      <c r="G56" s="197"/>
      <c r="H56" s="198" t="s">
        <v>309</v>
      </c>
      <c r="I56" s="306" t="s">
        <v>140</v>
      </c>
      <c r="J56" s="186" t="s">
        <v>4</v>
      </c>
      <c r="K56" s="217" t="s">
        <v>535</v>
      </c>
      <c r="L56" s="217"/>
    </row>
    <row r="57" spans="1:12" ht="29.5" customHeight="1" thickBot="1" x14ac:dyDescent="0.3">
      <c r="A57" s="541" t="s">
        <v>97</v>
      </c>
      <c r="B57" s="295" t="s">
        <v>90</v>
      </c>
      <c r="C57" s="57" t="s">
        <v>361</v>
      </c>
      <c r="D57" s="12" t="s">
        <v>123</v>
      </c>
      <c r="E57" s="24" t="s">
        <v>21</v>
      </c>
      <c r="F57" s="43">
        <v>540</v>
      </c>
      <c r="G57" s="43"/>
      <c r="H57" s="23"/>
      <c r="I57" s="306" t="s">
        <v>140</v>
      </c>
      <c r="J57" s="433" t="s">
        <v>3</v>
      </c>
      <c r="K57" s="218" t="s">
        <v>492</v>
      </c>
      <c r="L57" s="218"/>
    </row>
    <row r="58" spans="1:12" ht="56.5" thickBot="1" x14ac:dyDescent="0.3">
      <c r="A58" s="542"/>
      <c r="B58" s="281" t="s">
        <v>91</v>
      </c>
      <c r="C58" s="356" t="s">
        <v>362</v>
      </c>
      <c r="D58" s="186" t="s">
        <v>123</v>
      </c>
      <c r="E58" s="187" t="s">
        <v>25</v>
      </c>
      <c r="F58" s="197">
        <v>60</v>
      </c>
      <c r="G58" s="197"/>
      <c r="H58" s="198"/>
      <c r="I58" s="312" t="s">
        <v>270</v>
      </c>
      <c r="J58" s="186" t="s">
        <v>4</v>
      </c>
      <c r="K58" s="287" t="s">
        <v>493</v>
      </c>
      <c r="L58" s="287"/>
    </row>
    <row r="59" spans="1:12" ht="29.5" thickBot="1" x14ac:dyDescent="0.3">
      <c r="A59" s="542"/>
      <c r="B59" s="556" t="s">
        <v>92</v>
      </c>
      <c r="C59" s="299" t="s">
        <v>363</v>
      </c>
      <c r="D59" s="300" t="s">
        <v>123</v>
      </c>
      <c r="E59" s="301" t="s">
        <v>225</v>
      </c>
      <c r="F59" s="360"/>
      <c r="G59" s="361"/>
      <c r="H59" s="362"/>
      <c r="I59" s="272"/>
      <c r="J59" s="419" t="s">
        <v>4</v>
      </c>
      <c r="K59" s="218" t="s">
        <v>494</v>
      </c>
      <c r="L59" s="287"/>
    </row>
    <row r="60" spans="1:12" ht="77" customHeight="1" thickBot="1" x14ac:dyDescent="0.3">
      <c r="A60" s="542"/>
      <c r="B60" s="559"/>
      <c r="C60" s="363" t="s">
        <v>271</v>
      </c>
      <c r="D60" s="364" t="s">
        <v>123</v>
      </c>
      <c r="E60" s="365" t="s">
        <v>350</v>
      </c>
      <c r="F60" s="349"/>
      <c r="G60" s="349"/>
      <c r="H60" s="366"/>
      <c r="I60" s="272"/>
      <c r="J60" s="18" t="s">
        <v>4</v>
      </c>
      <c r="K60" s="214" t="s">
        <v>495</v>
      </c>
      <c r="L60" s="288"/>
    </row>
    <row r="61" spans="1:12" ht="73" thickBot="1" x14ac:dyDescent="0.3">
      <c r="A61" s="542"/>
      <c r="B61" s="559"/>
      <c r="C61" s="363" t="s">
        <v>403</v>
      </c>
      <c r="D61" s="364" t="s">
        <v>123</v>
      </c>
      <c r="E61" s="365" t="s">
        <v>25</v>
      </c>
      <c r="F61" s="349"/>
      <c r="G61" s="349"/>
      <c r="H61" s="366"/>
      <c r="I61" s="272"/>
      <c r="J61" s="18" t="s">
        <v>4</v>
      </c>
      <c r="K61" s="214" t="s">
        <v>496</v>
      </c>
      <c r="L61" s="288"/>
    </row>
    <row r="62" spans="1:12" ht="102" thickBot="1" x14ac:dyDescent="0.3">
      <c r="A62" s="542"/>
      <c r="B62" s="557"/>
      <c r="C62" s="367" t="s">
        <v>364</v>
      </c>
      <c r="D62" s="368" t="s">
        <v>123</v>
      </c>
      <c r="E62" s="369" t="s">
        <v>25</v>
      </c>
      <c r="F62" s="370">
        <v>30</v>
      </c>
      <c r="G62" s="370">
        <v>60</v>
      </c>
      <c r="H62" s="371"/>
      <c r="I62" s="307" t="s">
        <v>140</v>
      </c>
      <c r="J62" s="536" t="s">
        <v>3</v>
      </c>
      <c r="K62" s="216" t="s">
        <v>497</v>
      </c>
      <c r="L62" s="288"/>
    </row>
    <row r="63" spans="1:12" ht="29" customHeight="1" x14ac:dyDescent="0.25">
      <c r="A63" s="542"/>
      <c r="B63" s="642" t="s">
        <v>93</v>
      </c>
      <c r="C63" s="62" t="s">
        <v>365</v>
      </c>
      <c r="D63" s="34" t="s">
        <v>17</v>
      </c>
      <c r="E63" s="58" t="s">
        <v>25</v>
      </c>
      <c r="F63" s="35">
        <v>350</v>
      </c>
      <c r="G63" s="35">
        <v>11500</v>
      </c>
      <c r="H63" s="132" t="s">
        <v>309</v>
      </c>
      <c r="I63" s="307" t="s">
        <v>140</v>
      </c>
      <c r="J63" s="34" t="s">
        <v>4</v>
      </c>
      <c r="K63" s="311" t="s">
        <v>449</v>
      </c>
      <c r="L63" s="311"/>
    </row>
    <row r="64" spans="1:12" ht="58.5" thickBot="1" x14ac:dyDescent="0.3">
      <c r="A64" s="543"/>
      <c r="B64" s="643"/>
      <c r="C64" s="372" t="s">
        <v>366</v>
      </c>
      <c r="D64" s="373" t="s">
        <v>17</v>
      </c>
      <c r="E64" s="374" t="s">
        <v>25</v>
      </c>
      <c r="F64" s="375"/>
      <c r="G64" s="375">
        <v>15500</v>
      </c>
      <c r="H64" s="376" t="s">
        <v>309</v>
      </c>
      <c r="I64" s="313"/>
      <c r="J64" s="373" t="s">
        <v>4</v>
      </c>
      <c r="K64" s="216" t="s">
        <v>450</v>
      </c>
      <c r="L64" s="216"/>
    </row>
    <row r="65" spans="1:12" ht="72.5" x14ac:dyDescent="0.25">
      <c r="A65" s="541" t="s">
        <v>97</v>
      </c>
      <c r="B65" s="556" t="s">
        <v>94</v>
      </c>
      <c r="C65" s="57" t="s">
        <v>372</v>
      </c>
      <c r="D65" s="12" t="s">
        <v>123</v>
      </c>
      <c r="E65" s="24" t="s">
        <v>21</v>
      </c>
      <c r="F65" s="13"/>
      <c r="G65" s="13"/>
      <c r="H65" s="39"/>
      <c r="I65" s="221"/>
      <c r="J65" s="209" t="s">
        <v>5</v>
      </c>
      <c r="K65" s="218" t="s">
        <v>498</v>
      </c>
      <c r="L65" s="219"/>
    </row>
    <row r="66" spans="1:12" ht="43.5" x14ac:dyDescent="0.25">
      <c r="A66" s="542"/>
      <c r="B66" s="559"/>
      <c r="C66" s="341" t="s">
        <v>370</v>
      </c>
      <c r="D66" s="342" t="s">
        <v>123</v>
      </c>
      <c r="E66" s="343" t="s">
        <v>21</v>
      </c>
      <c r="F66" s="338">
        <v>300</v>
      </c>
      <c r="G66" s="338"/>
      <c r="H66" s="56"/>
      <c r="I66" s="157" t="s">
        <v>140</v>
      </c>
      <c r="J66" s="537" t="s">
        <v>3</v>
      </c>
      <c r="K66" s="214" t="s">
        <v>499</v>
      </c>
      <c r="L66" s="214"/>
    </row>
    <row r="67" spans="1:12" ht="43.5" x14ac:dyDescent="0.25">
      <c r="A67" s="542"/>
      <c r="B67" s="559"/>
      <c r="C67" s="341" t="s">
        <v>371</v>
      </c>
      <c r="D67" s="342" t="s">
        <v>123</v>
      </c>
      <c r="E67" s="343" t="s">
        <v>25</v>
      </c>
      <c r="F67" s="334">
        <v>200</v>
      </c>
      <c r="G67" s="334"/>
      <c r="H67" s="56" t="s">
        <v>281</v>
      </c>
      <c r="I67" s="157" t="s">
        <v>140</v>
      </c>
      <c r="J67" s="18" t="s">
        <v>4</v>
      </c>
      <c r="K67" s="215" t="s">
        <v>558</v>
      </c>
      <c r="L67" s="215"/>
    </row>
    <row r="68" spans="1:12" ht="29" x14ac:dyDescent="0.25">
      <c r="A68" s="542"/>
      <c r="B68" s="559"/>
      <c r="C68" s="341" t="s">
        <v>367</v>
      </c>
      <c r="D68" s="342" t="s">
        <v>123</v>
      </c>
      <c r="E68" s="343" t="s">
        <v>23</v>
      </c>
      <c r="F68" s="334">
        <v>300</v>
      </c>
      <c r="G68" s="334"/>
      <c r="H68" s="56" t="s">
        <v>281</v>
      </c>
      <c r="I68" s="310" t="s">
        <v>270</v>
      </c>
      <c r="J68" s="434" t="s">
        <v>500</v>
      </c>
      <c r="K68" s="214" t="s">
        <v>503</v>
      </c>
      <c r="L68" s="271"/>
    </row>
    <row r="69" spans="1:12" ht="29" x14ac:dyDescent="0.25">
      <c r="A69" s="542"/>
      <c r="B69" s="559"/>
      <c r="C69" s="341" t="s">
        <v>368</v>
      </c>
      <c r="D69" s="342" t="s">
        <v>123</v>
      </c>
      <c r="E69" s="343" t="s">
        <v>25</v>
      </c>
      <c r="F69" s="334">
        <v>455</v>
      </c>
      <c r="G69" s="334"/>
      <c r="H69" s="56" t="s">
        <v>281</v>
      </c>
      <c r="I69" s="310" t="s">
        <v>270</v>
      </c>
      <c r="J69" s="537" t="s">
        <v>3</v>
      </c>
      <c r="K69" s="214" t="s">
        <v>501</v>
      </c>
      <c r="L69" s="271"/>
    </row>
    <row r="70" spans="1:12" ht="44" thickBot="1" x14ac:dyDescent="0.3">
      <c r="A70" s="542"/>
      <c r="B70" s="557"/>
      <c r="C70" s="377" t="s">
        <v>369</v>
      </c>
      <c r="D70" s="342" t="s">
        <v>123</v>
      </c>
      <c r="E70" s="378" t="s">
        <v>36</v>
      </c>
      <c r="F70" s="379"/>
      <c r="G70" s="37"/>
      <c r="H70" s="63" t="s">
        <v>281</v>
      </c>
      <c r="I70" s="289"/>
      <c r="J70" s="373" t="s">
        <v>4</v>
      </c>
      <c r="K70" s="216" t="s">
        <v>502</v>
      </c>
      <c r="L70" s="271"/>
    </row>
    <row r="71" spans="1:12" ht="29" x14ac:dyDescent="0.25">
      <c r="A71" s="542"/>
      <c r="B71" s="642" t="s">
        <v>95</v>
      </c>
      <c r="C71" s="380" t="s">
        <v>373</v>
      </c>
      <c r="D71" s="381" t="s">
        <v>14</v>
      </c>
      <c r="E71" s="382" t="s">
        <v>11</v>
      </c>
      <c r="F71" s="188"/>
      <c r="G71" s="44"/>
      <c r="H71" s="163" t="s">
        <v>309</v>
      </c>
      <c r="I71" s="210"/>
      <c r="J71" s="433" t="s">
        <v>3</v>
      </c>
      <c r="K71" s="218" t="s">
        <v>559</v>
      </c>
      <c r="L71" s="218"/>
    </row>
    <row r="72" spans="1:12" ht="116" x14ac:dyDescent="0.25">
      <c r="A72" s="542"/>
      <c r="B72" s="644"/>
      <c r="C72" s="351" t="s">
        <v>374</v>
      </c>
      <c r="D72" s="383" t="s">
        <v>26</v>
      </c>
      <c r="E72" s="384" t="s">
        <v>6</v>
      </c>
      <c r="F72" s="17"/>
      <c r="G72" s="19"/>
      <c r="H72" s="133"/>
      <c r="I72" s="156"/>
      <c r="J72" s="101" t="s">
        <v>4</v>
      </c>
      <c r="K72" s="214" t="s">
        <v>536</v>
      </c>
      <c r="L72" s="214"/>
    </row>
    <row r="73" spans="1:12" ht="43.5" x14ac:dyDescent="0.25">
      <c r="A73" s="542"/>
      <c r="B73" s="644"/>
      <c r="C73" s="352" t="s">
        <v>321</v>
      </c>
      <c r="D73" s="385" t="s">
        <v>14</v>
      </c>
      <c r="E73" s="386" t="s">
        <v>36</v>
      </c>
      <c r="F73" s="112"/>
      <c r="G73" s="102"/>
      <c r="H73" s="151" t="s">
        <v>309</v>
      </c>
      <c r="I73" s="315"/>
      <c r="J73" s="101" t="s">
        <v>4</v>
      </c>
      <c r="K73" s="215" t="s">
        <v>543</v>
      </c>
      <c r="L73" s="215"/>
    </row>
    <row r="74" spans="1:12" ht="29.5" thickBot="1" x14ac:dyDescent="0.3">
      <c r="A74" s="543"/>
      <c r="B74" s="643"/>
      <c r="C74" s="387" t="s">
        <v>375</v>
      </c>
      <c r="D74" s="357" t="s">
        <v>14</v>
      </c>
      <c r="E74" s="358" t="s">
        <v>319</v>
      </c>
      <c r="F74" s="59"/>
      <c r="G74" s="59"/>
      <c r="H74" s="135"/>
      <c r="I74" s="211"/>
      <c r="J74" s="432" t="s">
        <v>482</v>
      </c>
      <c r="K74" s="216" t="s">
        <v>483</v>
      </c>
      <c r="L74" s="216"/>
    </row>
    <row r="75" spans="1:12" ht="43.5" x14ac:dyDescent="0.25">
      <c r="A75" s="541" t="s">
        <v>97</v>
      </c>
      <c r="B75" s="645" t="s">
        <v>96</v>
      </c>
      <c r="C75" s="57" t="s">
        <v>124</v>
      </c>
      <c r="D75" s="12" t="s">
        <v>17</v>
      </c>
      <c r="E75" s="24" t="s">
        <v>156</v>
      </c>
      <c r="F75" s="43">
        <v>600</v>
      </c>
      <c r="G75" s="43"/>
      <c r="H75" s="39" t="s">
        <v>309</v>
      </c>
      <c r="I75" s="221" t="s">
        <v>270</v>
      </c>
      <c r="J75" s="101" t="s">
        <v>4</v>
      </c>
      <c r="K75" s="218" t="s">
        <v>451</v>
      </c>
      <c r="L75" s="218"/>
    </row>
    <row r="76" spans="1:12" ht="58" x14ac:dyDescent="0.25">
      <c r="A76" s="542"/>
      <c r="B76" s="646"/>
      <c r="C76" s="10" t="s">
        <v>125</v>
      </c>
      <c r="D76" s="14" t="s">
        <v>17</v>
      </c>
      <c r="E76" s="25" t="s">
        <v>156</v>
      </c>
      <c r="F76" s="36">
        <v>790</v>
      </c>
      <c r="G76" s="36"/>
      <c r="H76" s="56" t="s">
        <v>309</v>
      </c>
      <c r="I76" s="158" t="s">
        <v>270</v>
      </c>
      <c r="J76" s="101" t="s">
        <v>4</v>
      </c>
      <c r="K76" s="424" t="s">
        <v>510</v>
      </c>
      <c r="L76" s="214"/>
    </row>
    <row r="77" spans="1:12" ht="29" x14ac:dyDescent="0.25">
      <c r="A77" s="542"/>
      <c r="B77" s="646"/>
      <c r="C77" s="10" t="s">
        <v>376</v>
      </c>
      <c r="D77" s="14" t="s">
        <v>14</v>
      </c>
      <c r="E77" s="25" t="s">
        <v>20</v>
      </c>
      <c r="F77" s="388">
        <f>1500+137.5</f>
        <v>1637.5</v>
      </c>
      <c r="G77" s="36"/>
      <c r="H77" s="56"/>
      <c r="I77" s="157" t="s">
        <v>140</v>
      </c>
      <c r="J77" s="18" t="s">
        <v>4</v>
      </c>
      <c r="K77" s="214" t="s">
        <v>484</v>
      </c>
      <c r="L77" s="214"/>
    </row>
    <row r="78" spans="1:12" ht="43.5" x14ac:dyDescent="0.25">
      <c r="A78" s="542"/>
      <c r="B78" s="646"/>
      <c r="C78" s="10" t="s">
        <v>377</v>
      </c>
      <c r="D78" s="14" t="s">
        <v>14</v>
      </c>
      <c r="E78" s="25" t="s">
        <v>320</v>
      </c>
      <c r="F78" s="36">
        <f>300+60+2000</f>
        <v>2360</v>
      </c>
      <c r="G78" s="36"/>
      <c r="H78" s="56"/>
      <c r="I78" s="157" t="s">
        <v>288</v>
      </c>
      <c r="J78" s="537" t="s">
        <v>3</v>
      </c>
      <c r="K78" s="214" t="s">
        <v>560</v>
      </c>
      <c r="L78" s="214"/>
    </row>
    <row r="79" spans="1:12" ht="29" x14ac:dyDescent="0.25">
      <c r="A79" s="542"/>
      <c r="B79" s="646"/>
      <c r="C79" s="11" t="s">
        <v>411</v>
      </c>
      <c r="D79" s="16" t="s">
        <v>14</v>
      </c>
      <c r="E79" s="26" t="s">
        <v>25</v>
      </c>
      <c r="F79" s="30">
        <v>12000</v>
      </c>
      <c r="G79" s="30"/>
      <c r="H79" s="31" t="s">
        <v>309</v>
      </c>
      <c r="I79" s="157" t="s">
        <v>140</v>
      </c>
      <c r="J79" s="18" t="s">
        <v>4</v>
      </c>
      <c r="K79" s="215" t="s">
        <v>561</v>
      </c>
      <c r="L79" s="215"/>
    </row>
    <row r="80" spans="1:12" ht="29.5" thickBot="1" x14ac:dyDescent="0.3">
      <c r="A80" s="543"/>
      <c r="B80" s="647"/>
      <c r="C80" s="82" t="s">
        <v>249</v>
      </c>
      <c r="D80" s="60" t="s">
        <v>14</v>
      </c>
      <c r="E80" s="61" t="s">
        <v>21</v>
      </c>
      <c r="F80" s="37">
        <f>1200+650</f>
        <v>1850</v>
      </c>
      <c r="G80" s="47"/>
      <c r="H80" s="38" t="s">
        <v>309</v>
      </c>
      <c r="I80" s="157" t="s">
        <v>140</v>
      </c>
      <c r="J80" s="72" t="s">
        <v>4</v>
      </c>
      <c r="K80" s="216" t="s">
        <v>437</v>
      </c>
      <c r="L80" s="216"/>
    </row>
    <row r="81" spans="1:12" ht="43.5" x14ac:dyDescent="0.25">
      <c r="A81" s="541" t="s">
        <v>100</v>
      </c>
      <c r="B81" s="636" t="s">
        <v>98</v>
      </c>
      <c r="C81" s="389" t="s">
        <v>256</v>
      </c>
      <c r="D81" s="390" t="s">
        <v>152</v>
      </c>
      <c r="E81" s="391" t="s">
        <v>25</v>
      </c>
      <c r="F81" s="392">
        <v>220</v>
      </c>
      <c r="G81" s="393"/>
      <c r="H81" s="394"/>
      <c r="I81" s="157" t="s">
        <v>140</v>
      </c>
      <c r="J81" s="433" t="s">
        <v>3</v>
      </c>
      <c r="K81" s="218" t="s">
        <v>432</v>
      </c>
      <c r="L81" s="218"/>
    </row>
    <row r="82" spans="1:12" ht="44" thickBot="1" x14ac:dyDescent="0.3">
      <c r="A82" s="542"/>
      <c r="B82" s="637"/>
      <c r="C82" s="352" t="s">
        <v>378</v>
      </c>
      <c r="D82" s="385" t="s">
        <v>201</v>
      </c>
      <c r="E82" s="386" t="s">
        <v>107</v>
      </c>
      <c r="F82" s="395"/>
      <c r="G82" s="396"/>
      <c r="H82" s="397"/>
      <c r="I82" s="156"/>
      <c r="J82" s="101" t="s">
        <v>4</v>
      </c>
      <c r="K82" s="215" t="s">
        <v>537</v>
      </c>
      <c r="L82" s="216"/>
    </row>
    <row r="83" spans="1:12" ht="29.5" thickBot="1" x14ac:dyDescent="0.3">
      <c r="A83" s="542"/>
      <c r="B83" s="638"/>
      <c r="C83" s="387" t="s">
        <v>379</v>
      </c>
      <c r="D83" s="357" t="s">
        <v>160</v>
      </c>
      <c r="E83" s="358" t="s">
        <v>25</v>
      </c>
      <c r="F83" s="398"/>
      <c r="G83" s="398"/>
      <c r="H83" s="359"/>
      <c r="I83" s="211"/>
      <c r="J83" s="498" t="s">
        <v>3</v>
      </c>
      <c r="K83" s="216" t="s">
        <v>485</v>
      </c>
      <c r="L83" s="227"/>
    </row>
    <row r="84" spans="1:12" ht="29.5" thickBot="1" x14ac:dyDescent="0.3">
      <c r="A84" s="542"/>
      <c r="B84" s="556" t="s">
        <v>99</v>
      </c>
      <c r="C84" s="57" t="s">
        <v>251</v>
      </c>
      <c r="D84" s="24" t="s">
        <v>253</v>
      </c>
      <c r="E84" s="399" t="s">
        <v>107</v>
      </c>
      <c r="F84" s="43">
        <v>6000</v>
      </c>
      <c r="G84" s="43"/>
      <c r="H84" s="39" t="s">
        <v>281</v>
      </c>
      <c r="I84" s="221" t="s">
        <v>270</v>
      </c>
      <c r="J84" s="419" t="s">
        <v>4</v>
      </c>
      <c r="K84" s="271" t="s">
        <v>433</v>
      </c>
      <c r="L84" s="227"/>
    </row>
    <row r="85" spans="1:12" ht="29.5" thickBot="1" x14ac:dyDescent="0.3">
      <c r="A85" s="542"/>
      <c r="B85" s="559"/>
      <c r="C85" s="332" t="s">
        <v>250</v>
      </c>
      <c r="D85" s="400" t="s">
        <v>252</v>
      </c>
      <c r="E85" s="400" t="s">
        <v>107</v>
      </c>
      <c r="F85" s="401"/>
      <c r="G85" s="401"/>
      <c r="H85" s="402" t="s">
        <v>281</v>
      </c>
      <c r="I85" s="270"/>
      <c r="J85" s="425" t="s">
        <v>40</v>
      </c>
      <c r="K85" s="215" t="s">
        <v>434</v>
      </c>
      <c r="L85" s="227"/>
    </row>
    <row r="86" spans="1:12" ht="29.5" thickBot="1" x14ac:dyDescent="0.3">
      <c r="A86" s="543"/>
      <c r="B86" s="557"/>
      <c r="C86" s="82" t="s">
        <v>213</v>
      </c>
      <c r="D86" s="60" t="s">
        <v>200</v>
      </c>
      <c r="E86" s="61" t="s">
        <v>25</v>
      </c>
      <c r="F86" s="37"/>
      <c r="G86" s="37"/>
      <c r="H86" s="63" t="s">
        <v>281</v>
      </c>
      <c r="I86" s="207"/>
      <c r="J86" s="72" t="s">
        <v>4</v>
      </c>
      <c r="K86" s="216" t="s">
        <v>435</v>
      </c>
      <c r="L86" s="227"/>
    </row>
    <row r="87" spans="1:12" ht="14.5" x14ac:dyDescent="0.25">
      <c r="A87" s="263"/>
      <c r="B87" s="277"/>
      <c r="C87" s="67"/>
      <c r="D87" s="264"/>
      <c r="E87" s="265"/>
      <c r="F87" s="266"/>
      <c r="G87" s="266"/>
      <c r="H87" s="267"/>
      <c r="I87" s="268"/>
      <c r="J87" s="264"/>
      <c r="K87" s="269"/>
      <c r="L87" s="269"/>
    </row>
    <row r="88" spans="1:12" x14ac:dyDescent="0.25">
      <c r="E88" s="29"/>
      <c r="J88" s="100"/>
    </row>
    <row r="89" spans="1:12" ht="28" x14ac:dyDescent="0.25">
      <c r="B89" s="277" t="s">
        <v>316</v>
      </c>
      <c r="C89" s="286"/>
      <c r="E89" s="29"/>
      <c r="J89" s="100"/>
    </row>
    <row r="90" spans="1:12" x14ac:dyDescent="0.25">
      <c r="B90" s="277" t="s">
        <v>298</v>
      </c>
      <c r="E90" s="29"/>
      <c r="J90" s="100"/>
    </row>
    <row r="91" spans="1:12" x14ac:dyDescent="0.25">
      <c r="B91" s="277" t="s">
        <v>396</v>
      </c>
      <c r="E91" s="29"/>
      <c r="J91" s="100"/>
    </row>
    <row r="92" spans="1:12" x14ac:dyDescent="0.25">
      <c r="B92" s="277" t="s">
        <v>277</v>
      </c>
      <c r="E92" s="29"/>
      <c r="J92" s="100"/>
    </row>
    <row r="93" spans="1:12" x14ac:dyDescent="0.25">
      <c r="B93" s="277" t="s">
        <v>308</v>
      </c>
      <c r="E93" s="29"/>
      <c r="J93" s="100"/>
    </row>
    <row r="94" spans="1:12" x14ac:dyDescent="0.25">
      <c r="B94" s="277" t="s">
        <v>310</v>
      </c>
      <c r="E94" s="29"/>
      <c r="J94" s="100"/>
    </row>
    <row r="95" spans="1:12" x14ac:dyDescent="0.25">
      <c r="E95" s="29"/>
      <c r="J95" s="100"/>
    </row>
    <row r="96" spans="1:12" x14ac:dyDescent="0.25">
      <c r="E96" s="29"/>
      <c r="J96" s="100"/>
    </row>
    <row r="97" spans="5:10" x14ac:dyDescent="0.25">
      <c r="E97" s="29"/>
      <c r="J97" s="100"/>
    </row>
    <row r="98" spans="5:10" x14ac:dyDescent="0.25">
      <c r="E98" s="29"/>
      <c r="J98" s="100"/>
    </row>
    <row r="99" spans="5:10" x14ac:dyDescent="0.25">
      <c r="E99" s="29"/>
      <c r="J99" s="100"/>
    </row>
    <row r="100" spans="5:10" x14ac:dyDescent="0.25">
      <c r="E100" s="29"/>
      <c r="J100" s="100"/>
    </row>
    <row r="101" spans="5:10" x14ac:dyDescent="0.25">
      <c r="E101" s="29"/>
      <c r="J101" s="100"/>
    </row>
    <row r="102" spans="5:10" x14ac:dyDescent="0.25">
      <c r="E102" s="29"/>
      <c r="J102" s="100"/>
    </row>
    <row r="103" spans="5:10" x14ac:dyDescent="0.25">
      <c r="E103" s="29"/>
      <c r="J103" s="100"/>
    </row>
    <row r="104" spans="5:10" x14ac:dyDescent="0.25">
      <c r="E104" s="29"/>
      <c r="J104" s="100"/>
    </row>
    <row r="105" spans="5:10" x14ac:dyDescent="0.25">
      <c r="E105" s="29"/>
      <c r="J105" s="100"/>
    </row>
    <row r="106" spans="5:10" x14ac:dyDescent="0.25">
      <c r="E106" s="29"/>
      <c r="J106" s="100"/>
    </row>
    <row r="107" spans="5:10" x14ac:dyDescent="0.25">
      <c r="E107" s="29"/>
    </row>
    <row r="108" spans="5:10" x14ac:dyDescent="0.25">
      <c r="E108" s="29"/>
    </row>
    <row r="109" spans="5:10" x14ac:dyDescent="0.25">
      <c r="E109" s="29"/>
    </row>
    <row r="110" spans="5:10" x14ac:dyDescent="0.25">
      <c r="E110" s="29"/>
    </row>
    <row r="111" spans="5:10" x14ac:dyDescent="0.25">
      <c r="E111" s="29"/>
    </row>
    <row r="112" spans="5:10" x14ac:dyDescent="0.25">
      <c r="E112" s="29"/>
    </row>
    <row r="113" spans="5:5" x14ac:dyDescent="0.25">
      <c r="E113" s="29"/>
    </row>
    <row r="114" spans="5:5" x14ac:dyDescent="0.25">
      <c r="E114" s="29"/>
    </row>
    <row r="115" spans="5:5" x14ac:dyDescent="0.25">
      <c r="E115" s="29"/>
    </row>
    <row r="116" spans="5:5" x14ac:dyDescent="0.25">
      <c r="E116" s="29"/>
    </row>
    <row r="117" spans="5:5" x14ac:dyDescent="0.25">
      <c r="E117" s="29"/>
    </row>
    <row r="118" spans="5:5" x14ac:dyDescent="0.25">
      <c r="E118" s="29"/>
    </row>
    <row r="119" spans="5:5" x14ac:dyDescent="0.25">
      <c r="E119" s="29"/>
    </row>
    <row r="120" spans="5:5" x14ac:dyDescent="0.25">
      <c r="E120" s="29"/>
    </row>
    <row r="121" spans="5:5" x14ac:dyDescent="0.25">
      <c r="E121" s="29"/>
    </row>
    <row r="122" spans="5:5" x14ac:dyDescent="0.25">
      <c r="E122" s="29"/>
    </row>
    <row r="123" spans="5:5" x14ac:dyDescent="0.25">
      <c r="E123" s="29"/>
    </row>
    <row r="124" spans="5:5" x14ac:dyDescent="0.25">
      <c r="E124" s="29"/>
    </row>
    <row r="125" spans="5:5" x14ac:dyDescent="0.25">
      <c r="E125" s="29"/>
    </row>
    <row r="126" spans="5:5" x14ac:dyDescent="0.25">
      <c r="E126" s="29"/>
    </row>
    <row r="127" spans="5:5" x14ac:dyDescent="0.25">
      <c r="E127" s="29"/>
    </row>
    <row r="128" spans="5:5" x14ac:dyDescent="0.25">
      <c r="E128" s="29"/>
    </row>
    <row r="129" spans="5:5" x14ac:dyDescent="0.25">
      <c r="E129" s="29"/>
    </row>
    <row r="130" spans="5:5" x14ac:dyDescent="0.25">
      <c r="E130" s="29"/>
    </row>
    <row r="131" spans="5:5" x14ac:dyDescent="0.25">
      <c r="E131" s="29"/>
    </row>
    <row r="132" spans="5:5" x14ac:dyDescent="0.25">
      <c r="E132" s="29"/>
    </row>
    <row r="133" spans="5:5" x14ac:dyDescent="0.25">
      <c r="E133" s="29"/>
    </row>
    <row r="134" spans="5:5" x14ac:dyDescent="0.25">
      <c r="E134" s="29"/>
    </row>
    <row r="135" spans="5:5" x14ac:dyDescent="0.25">
      <c r="E135" s="29"/>
    </row>
    <row r="136" spans="5:5" x14ac:dyDescent="0.25">
      <c r="E136" s="29"/>
    </row>
    <row r="137" spans="5:5" x14ac:dyDescent="0.25">
      <c r="E137" s="29"/>
    </row>
    <row r="138" spans="5:5" x14ac:dyDescent="0.25">
      <c r="E138" s="29"/>
    </row>
    <row r="139" spans="5:5" x14ac:dyDescent="0.25">
      <c r="E139" s="29"/>
    </row>
    <row r="140" spans="5:5" x14ac:dyDescent="0.25">
      <c r="E140" s="29"/>
    </row>
    <row r="141" spans="5:5" x14ac:dyDescent="0.25">
      <c r="E141" s="29"/>
    </row>
    <row r="142" spans="5:5" x14ac:dyDescent="0.25">
      <c r="E142" s="29"/>
    </row>
    <row r="143" spans="5:5" x14ac:dyDescent="0.25">
      <c r="E143" s="29"/>
    </row>
    <row r="144" spans="5:5" x14ac:dyDescent="0.25">
      <c r="E144" s="29"/>
    </row>
    <row r="145" spans="5:5" x14ac:dyDescent="0.25">
      <c r="E145" s="29"/>
    </row>
    <row r="146" spans="5:5" x14ac:dyDescent="0.25">
      <c r="E146" s="29"/>
    </row>
    <row r="147" spans="5:5" x14ac:dyDescent="0.25">
      <c r="E147" s="29"/>
    </row>
    <row r="148" spans="5:5" x14ac:dyDescent="0.25">
      <c r="E148" s="29"/>
    </row>
    <row r="149" spans="5:5" x14ac:dyDescent="0.25">
      <c r="E149" s="29"/>
    </row>
    <row r="150" spans="5:5" x14ac:dyDescent="0.25">
      <c r="E150" s="29"/>
    </row>
    <row r="151" spans="5:5" x14ac:dyDescent="0.25">
      <c r="E151" s="29"/>
    </row>
    <row r="152" spans="5:5" x14ac:dyDescent="0.25">
      <c r="E152" s="29"/>
    </row>
    <row r="153" spans="5:5" x14ac:dyDescent="0.25">
      <c r="E153" s="29"/>
    </row>
    <row r="154" spans="5:5" x14ac:dyDescent="0.25">
      <c r="E154" s="29"/>
    </row>
    <row r="155" spans="5:5" x14ac:dyDescent="0.25">
      <c r="E155" s="29"/>
    </row>
    <row r="156" spans="5:5" x14ac:dyDescent="0.25">
      <c r="E156" s="29"/>
    </row>
    <row r="157" spans="5:5" x14ac:dyDescent="0.25">
      <c r="E157" s="29"/>
    </row>
    <row r="158" spans="5:5" x14ac:dyDescent="0.25">
      <c r="E158" s="29"/>
    </row>
    <row r="159" spans="5:5" x14ac:dyDescent="0.25">
      <c r="E159" s="29"/>
    </row>
    <row r="160" spans="5:5" x14ac:dyDescent="0.25">
      <c r="E160" s="29"/>
    </row>
    <row r="161" spans="5:5" x14ac:dyDescent="0.25">
      <c r="E161" s="29"/>
    </row>
    <row r="162" spans="5:5" x14ac:dyDescent="0.25">
      <c r="E162" s="29"/>
    </row>
    <row r="163" spans="5:5" x14ac:dyDescent="0.25">
      <c r="E163" s="29"/>
    </row>
    <row r="164" spans="5:5" x14ac:dyDescent="0.25">
      <c r="E164" s="29"/>
    </row>
    <row r="165" spans="5:5" x14ac:dyDescent="0.25">
      <c r="E165" s="29"/>
    </row>
    <row r="166" spans="5:5" x14ac:dyDescent="0.25">
      <c r="E166" s="29"/>
    </row>
    <row r="167" spans="5:5" x14ac:dyDescent="0.25">
      <c r="E167" s="29"/>
    </row>
    <row r="168" spans="5:5" x14ac:dyDescent="0.25">
      <c r="E168" s="29"/>
    </row>
    <row r="169" spans="5:5" x14ac:dyDescent="0.25">
      <c r="E169" s="29"/>
    </row>
    <row r="170" spans="5:5" x14ac:dyDescent="0.25">
      <c r="E170" s="29"/>
    </row>
    <row r="171" spans="5:5" x14ac:dyDescent="0.25">
      <c r="E171" s="29"/>
    </row>
    <row r="172" spans="5:5" x14ac:dyDescent="0.25">
      <c r="E172" s="29"/>
    </row>
    <row r="173" spans="5:5" x14ac:dyDescent="0.25">
      <c r="E173" s="29"/>
    </row>
    <row r="174" spans="5:5" x14ac:dyDescent="0.25">
      <c r="E174" s="29"/>
    </row>
    <row r="175" spans="5:5" x14ac:dyDescent="0.25">
      <c r="E175" s="29"/>
    </row>
    <row r="176" spans="5:5" x14ac:dyDescent="0.25">
      <c r="E176" s="29"/>
    </row>
    <row r="177" spans="5:5" x14ac:dyDescent="0.25">
      <c r="E177" s="29"/>
    </row>
    <row r="178" spans="5:5" x14ac:dyDescent="0.25">
      <c r="E178" s="29"/>
    </row>
    <row r="179" spans="5:5" x14ac:dyDescent="0.25">
      <c r="E179" s="29"/>
    </row>
    <row r="180" spans="5:5" x14ac:dyDescent="0.25">
      <c r="E180" s="29"/>
    </row>
    <row r="181" spans="5:5" x14ac:dyDescent="0.25">
      <c r="E181" s="29"/>
    </row>
    <row r="182" spans="5:5" x14ac:dyDescent="0.25">
      <c r="E182" s="29"/>
    </row>
    <row r="183" spans="5:5" x14ac:dyDescent="0.25">
      <c r="E183" s="29"/>
    </row>
    <row r="184" spans="5:5" x14ac:dyDescent="0.25">
      <c r="E184" s="29"/>
    </row>
    <row r="185" spans="5:5" x14ac:dyDescent="0.25">
      <c r="E185" s="29"/>
    </row>
    <row r="186" spans="5:5" x14ac:dyDescent="0.25">
      <c r="E186" s="29"/>
    </row>
    <row r="187" spans="5:5" x14ac:dyDescent="0.25">
      <c r="E187" s="29"/>
    </row>
    <row r="188" spans="5:5" x14ac:dyDescent="0.25">
      <c r="E188" s="29"/>
    </row>
    <row r="189" spans="5:5" x14ac:dyDescent="0.25">
      <c r="E189" s="29"/>
    </row>
    <row r="190" spans="5:5" x14ac:dyDescent="0.25">
      <c r="E190" s="29"/>
    </row>
    <row r="191" spans="5:5" x14ac:dyDescent="0.25">
      <c r="E191" s="29"/>
    </row>
    <row r="192" spans="5:5" x14ac:dyDescent="0.25">
      <c r="E192" s="29"/>
    </row>
    <row r="193" spans="5:5" x14ac:dyDescent="0.25">
      <c r="E193" s="29"/>
    </row>
    <row r="194" spans="5:5" x14ac:dyDescent="0.25">
      <c r="E194" s="29"/>
    </row>
    <row r="195" spans="5:5" x14ac:dyDescent="0.25">
      <c r="E195" s="29"/>
    </row>
    <row r="196" spans="5:5" x14ac:dyDescent="0.25">
      <c r="E196" s="29"/>
    </row>
    <row r="197" spans="5:5" x14ac:dyDescent="0.25">
      <c r="E197" s="29"/>
    </row>
    <row r="198" spans="5:5" x14ac:dyDescent="0.25">
      <c r="E198" s="29"/>
    </row>
    <row r="199" spans="5:5" x14ac:dyDescent="0.25">
      <c r="E199" s="29"/>
    </row>
    <row r="200" spans="5:5" x14ac:dyDescent="0.25">
      <c r="E200" s="29"/>
    </row>
    <row r="201" spans="5:5" x14ac:dyDescent="0.25">
      <c r="E201" s="29"/>
    </row>
    <row r="202" spans="5:5" x14ac:dyDescent="0.25">
      <c r="E202" s="29"/>
    </row>
    <row r="203" spans="5:5" x14ac:dyDescent="0.25">
      <c r="E203" s="29"/>
    </row>
    <row r="204" spans="5:5" x14ac:dyDescent="0.25">
      <c r="E204" s="29"/>
    </row>
    <row r="205" spans="5:5" x14ac:dyDescent="0.25">
      <c r="E205" s="29"/>
    </row>
    <row r="206" spans="5:5" x14ac:dyDescent="0.25">
      <c r="E206" s="29"/>
    </row>
    <row r="207" spans="5:5" x14ac:dyDescent="0.25">
      <c r="E207" s="29"/>
    </row>
    <row r="208" spans="5:5" x14ac:dyDescent="0.25">
      <c r="E208" s="29"/>
    </row>
    <row r="209" spans="5:5" x14ac:dyDescent="0.25">
      <c r="E209" s="29"/>
    </row>
    <row r="210" spans="5:5" x14ac:dyDescent="0.25">
      <c r="E210" s="29"/>
    </row>
    <row r="211" spans="5:5" x14ac:dyDescent="0.25">
      <c r="E211" s="29"/>
    </row>
    <row r="212" spans="5:5" x14ac:dyDescent="0.25">
      <c r="E212" s="29"/>
    </row>
    <row r="213" spans="5:5" x14ac:dyDescent="0.25">
      <c r="E213" s="29"/>
    </row>
    <row r="214" spans="5:5" x14ac:dyDescent="0.25">
      <c r="E214" s="29"/>
    </row>
    <row r="215" spans="5:5" x14ac:dyDescent="0.25">
      <c r="E215" s="29"/>
    </row>
    <row r="216" spans="5:5" x14ac:dyDescent="0.25">
      <c r="E216" s="29"/>
    </row>
    <row r="217" spans="5:5" x14ac:dyDescent="0.25">
      <c r="E217" s="29"/>
    </row>
    <row r="218" spans="5:5" x14ac:dyDescent="0.25">
      <c r="E218" s="29"/>
    </row>
    <row r="219" spans="5:5" x14ac:dyDescent="0.25">
      <c r="E219" s="29"/>
    </row>
    <row r="220" spans="5:5" x14ac:dyDescent="0.25">
      <c r="E220" s="29"/>
    </row>
    <row r="221" spans="5:5" x14ac:dyDescent="0.25">
      <c r="E221" s="29"/>
    </row>
    <row r="222" spans="5:5" x14ac:dyDescent="0.25">
      <c r="E222" s="29"/>
    </row>
    <row r="223" spans="5:5" x14ac:dyDescent="0.25">
      <c r="E223" s="29"/>
    </row>
    <row r="224" spans="5:5" x14ac:dyDescent="0.25">
      <c r="E224" s="29"/>
    </row>
    <row r="225" spans="5:5" x14ac:dyDescent="0.25">
      <c r="E225" s="29"/>
    </row>
    <row r="226" spans="5:5" x14ac:dyDescent="0.25">
      <c r="E226" s="29"/>
    </row>
    <row r="227" spans="5:5" x14ac:dyDescent="0.25">
      <c r="E227" s="29"/>
    </row>
    <row r="228" spans="5:5" x14ac:dyDescent="0.25">
      <c r="E228" s="29"/>
    </row>
    <row r="229" spans="5:5" x14ac:dyDescent="0.25">
      <c r="E229" s="29"/>
    </row>
    <row r="230" spans="5:5" x14ac:dyDescent="0.25">
      <c r="E230" s="29"/>
    </row>
    <row r="231" spans="5:5" x14ac:dyDescent="0.25">
      <c r="E231" s="29"/>
    </row>
    <row r="232" spans="5:5" x14ac:dyDescent="0.25">
      <c r="E232" s="29"/>
    </row>
    <row r="233" spans="5:5" x14ac:dyDescent="0.25">
      <c r="E233" s="29"/>
    </row>
    <row r="234" spans="5:5" x14ac:dyDescent="0.25">
      <c r="E234" s="29"/>
    </row>
    <row r="235" spans="5:5" x14ac:dyDescent="0.25">
      <c r="E235" s="29"/>
    </row>
    <row r="236" spans="5:5" x14ac:dyDescent="0.25">
      <c r="E236" s="29"/>
    </row>
    <row r="237" spans="5:5" x14ac:dyDescent="0.25">
      <c r="E237" s="29"/>
    </row>
    <row r="238" spans="5:5" x14ac:dyDescent="0.25">
      <c r="E238" s="29"/>
    </row>
    <row r="239" spans="5:5" x14ac:dyDescent="0.25">
      <c r="E239" s="29"/>
    </row>
    <row r="240" spans="5:5" x14ac:dyDescent="0.25">
      <c r="E240" s="29"/>
    </row>
    <row r="241" spans="5:5" x14ac:dyDescent="0.25">
      <c r="E241" s="29"/>
    </row>
    <row r="242" spans="5:5" x14ac:dyDescent="0.25">
      <c r="E242" s="29"/>
    </row>
    <row r="243" spans="5:5" x14ac:dyDescent="0.25">
      <c r="E243" s="29"/>
    </row>
  </sheetData>
  <autoFilter ref="A4:N86" xr:uid="{00000000-0009-0000-0000-000003000000}"/>
  <customSheetViews>
    <customSheetView guid="{0919DC40-70F7-46DB-9F44-D3AE0E183D1A}" showPageBreaks="1" printArea="1" showAutoFilter="1" hiddenColumns="1" showRuler="0" topLeftCell="C1">
      <selection activeCell="I71" sqref="I71"/>
      <pageMargins left="0.19685039370078741" right="0.19685039370078741" top="0.74803149606299213" bottom="0.43307086614173229" header="0.51181102362204722" footer="0.27559055118110237"/>
      <printOptions horizontalCentered="1"/>
      <pageSetup paperSize="9" orientation="landscape" r:id="rId1"/>
      <headerFooter alignWithMargins="0">
        <oddHeader>&amp;LDoprava, infrastruktura a životní prostředí&amp;RAkční plán rozvoje města pro období 2021 - 2022</oddHeader>
        <oddFooter>&amp;C&amp;P/&amp;N</oddFooter>
      </headerFooter>
      <autoFilter ref="B1:P1" xr:uid="{6167E568-76B7-4398-8E49-53698B2B1E47}"/>
    </customSheetView>
  </customSheetViews>
  <mergeCells count="41">
    <mergeCell ref="A41:A47"/>
    <mergeCell ref="A48:A52"/>
    <mergeCell ref="A57:A64"/>
    <mergeCell ref="A65:A74"/>
    <mergeCell ref="B28:B33"/>
    <mergeCell ref="A28:A37"/>
    <mergeCell ref="B34:B37"/>
    <mergeCell ref="B38:B40"/>
    <mergeCell ref="A38:A40"/>
    <mergeCell ref="B50:B52"/>
    <mergeCell ref="A1:K1"/>
    <mergeCell ref="A6:A19"/>
    <mergeCell ref="A20:A21"/>
    <mergeCell ref="A22:A27"/>
    <mergeCell ref="J2:J4"/>
    <mergeCell ref="B22:B25"/>
    <mergeCell ref="H2:H4"/>
    <mergeCell ref="E2:E4"/>
    <mergeCell ref="B2:B4"/>
    <mergeCell ref="G2:G4"/>
    <mergeCell ref="C2:C4"/>
    <mergeCell ref="F2:F4"/>
    <mergeCell ref="B20:B21"/>
    <mergeCell ref="B6:B19"/>
    <mergeCell ref="A2:A4"/>
    <mergeCell ref="L2:L4"/>
    <mergeCell ref="B81:B83"/>
    <mergeCell ref="A53:A56"/>
    <mergeCell ref="B44:B47"/>
    <mergeCell ref="A81:A86"/>
    <mergeCell ref="B63:B64"/>
    <mergeCell ref="B71:B74"/>
    <mergeCell ref="B75:B80"/>
    <mergeCell ref="A75:A80"/>
    <mergeCell ref="B84:B86"/>
    <mergeCell ref="B59:B62"/>
    <mergeCell ref="B65:B70"/>
    <mergeCell ref="B53:B55"/>
    <mergeCell ref="K2:K4"/>
    <mergeCell ref="B41:B43"/>
    <mergeCell ref="B48:B49"/>
  </mergeCells>
  <phoneticPr fontId="7" type="noConversion"/>
  <printOptions horizontalCentered="1"/>
  <pageMargins left="0.23622047244094491" right="0.23622047244094491" top="0.74803149606299213" bottom="0.74803149606299213" header="0.31496062992125984" footer="0.31496062992125984"/>
  <pageSetup paperSize="9" scale="92" fitToHeight="0" orientation="landscape" r:id="rId2"/>
  <headerFooter alignWithMargins="0">
    <oddHeader>&amp;LVyvážený rozvoj&amp;RAkční plán rozvoje města pro období 2024-2025</oddHeader>
    <oddFooter>&amp;C&amp;P/&amp;N&amp;RVyhodnocení k 31.12.2024</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52"/>
    <pageSetUpPr fitToPage="1"/>
  </sheetPr>
  <dimension ref="A1:L234"/>
  <sheetViews>
    <sheetView tabSelected="1" zoomScaleNormal="100" workbookViewId="0">
      <selection activeCell="J42" sqref="J42"/>
    </sheetView>
  </sheetViews>
  <sheetFormatPr defaultRowHeight="14" x14ac:dyDescent="0.25"/>
  <cols>
    <col min="1" max="1" width="5.26953125" style="1" customWidth="1"/>
    <col min="2" max="2" width="30.1796875" style="277" customWidth="1"/>
    <col min="3" max="3" width="42" customWidth="1"/>
    <col min="4" max="4" width="7.7265625" style="4" customWidth="1"/>
    <col min="5" max="5" width="8.453125" style="4" customWidth="1"/>
    <col min="6" max="7" width="9.7265625" style="2" hidden="1" customWidth="1"/>
    <col min="8" max="8" width="8.7265625" hidden="1" customWidth="1"/>
    <col min="9" max="9" width="9.26953125" style="97" hidden="1" customWidth="1"/>
    <col min="10" max="10" width="11" style="99" customWidth="1"/>
    <col min="11" max="11" width="52.90625" style="80" customWidth="1"/>
    <col min="12" max="12" width="50.54296875" style="80" customWidth="1"/>
  </cols>
  <sheetData>
    <row r="1" spans="1:12" ht="28" customHeight="1" thickBot="1" x14ac:dyDescent="0.5">
      <c r="A1" s="674" t="s">
        <v>16</v>
      </c>
      <c r="B1" s="675"/>
      <c r="C1" s="675"/>
      <c r="D1" s="675"/>
      <c r="E1" s="675"/>
      <c r="F1" s="675"/>
      <c r="G1" s="675"/>
      <c r="H1" s="675"/>
      <c r="I1" s="675"/>
      <c r="J1" s="675"/>
      <c r="K1" s="676"/>
      <c r="L1" s="254"/>
    </row>
    <row r="2" spans="1:12" ht="26.15" customHeight="1" x14ac:dyDescent="0.3">
      <c r="A2" s="688" t="s">
        <v>101</v>
      </c>
      <c r="B2" s="691" t="s">
        <v>7</v>
      </c>
      <c r="C2" s="691" t="s">
        <v>12</v>
      </c>
      <c r="D2" s="6" t="s">
        <v>13</v>
      </c>
      <c r="E2" s="703" t="s">
        <v>19</v>
      </c>
      <c r="F2" s="700" t="s">
        <v>58</v>
      </c>
      <c r="G2" s="700" t="s">
        <v>263</v>
      </c>
      <c r="H2" s="700" t="s">
        <v>265</v>
      </c>
      <c r="I2" s="105"/>
      <c r="J2" s="694" t="s">
        <v>2</v>
      </c>
      <c r="K2" s="697" t="s">
        <v>28</v>
      </c>
      <c r="L2" s="685">
        <v>2023</v>
      </c>
    </row>
    <row r="3" spans="1:12" ht="13" x14ac:dyDescent="0.3">
      <c r="A3" s="689"/>
      <c r="B3" s="692"/>
      <c r="C3" s="692"/>
      <c r="D3" s="7" t="s">
        <v>24</v>
      </c>
      <c r="E3" s="704"/>
      <c r="F3" s="701"/>
      <c r="G3" s="701"/>
      <c r="H3" s="701"/>
      <c r="I3" s="96"/>
      <c r="J3" s="695"/>
      <c r="K3" s="698"/>
      <c r="L3" s="686"/>
    </row>
    <row r="4" spans="1:12" ht="13.5" thickBot="1" x14ac:dyDescent="0.35">
      <c r="A4" s="690"/>
      <c r="B4" s="693"/>
      <c r="C4" s="693"/>
      <c r="D4" s="8" t="s">
        <v>25</v>
      </c>
      <c r="E4" s="705"/>
      <c r="F4" s="702"/>
      <c r="G4" s="702"/>
      <c r="H4" s="702"/>
      <c r="I4" s="106"/>
      <c r="J4" s="696"/>
      <c r="K4" s="699"/>
      <c r="L4" s="687"/>
    </row>
    <row r="5" spans="1:12" ht="4.5" customHeight="1" thickBot="1" x14ac:dyDescent="0.35">
      <c r="A5" s="452"/>
      <c r="B5" s="453"/>
      <c r="C5" s="477"/>
      <c r="D5" s="478"/>
      <c r="E5" s="479"/>
      <c r="F5" s="480"/>
      <c r="G5" s="480"/>
      <c r="H5" s="481"/>
      <c r="I5" s="458"/>
      <c r="J5" s="482"/>
      <c r="K5" s="483"/>
      <c r="L5" s="459"/>
    </row>
    <row r="6" spans="1:12" ht="36" customHeight="1" x14ac:dyDescent="0.25">
      <c r="A6" s="541" t="s">
        <v>131</v>
      </c>
      <c r="B6" s="556" t="s">
        <v>132</v>
      </c>
      <c r="C6" s="57" t="s">
        <v>192</v>
      </c>
      <c r="D6" s="12" t="s">
        <v>18</v>
      </c>
      <c r="E6" s="24" t="s">
        <v>214</v>
      </c>
      <c r="F6" s="13">
        <f>24118.2+2320+1700+420+670</f>
        <v>29228.2</v>
      </c>
      <c r="G6" s="13">
        <v>30000</v>
      </c>
      <c r="H6" s="23" t="s">
        <v>273</v>
      </c>
      <c r="I6" s="539" t="s">
        <v>140</v>
      </c>
      <c r="J6" s="222" t="s">
        <v>3</v>
      </c>
      <c r="K6" s="218" t="s">
        <v>522</v>
      </c>
      <c r="L6" s="218"/>
    </row>
    <row r="7" spans="1:12" ht="98.5" customHeight="1" x14ac:dyDescent="0.25">
      <c r="A7" s="542"/>
      <c r="B7" s="559"/>
      <c r="C7" s="11" t="s">
        <v>191</v>
      </c>
      <c r="D7" s="16" t="s">
        <v>186</v>
      </c>
      <c r="E7" s="26" t="s">
        <v>20</v>
      </c>
      <c r="F7" s="30">
        <v>5</v>
      </c>
      <c r="G7" s="30">
        <v>5</v>
      </c>
      <c r="H7" s="31" t="s">
        <v>274</v>
      </c>
      <c r="I7" s="161" t="s">
        <v>140</v>
      </c>
      <c r="J7" s="104" t="s">
        <v>3</v>
      </c>
      <c r="K7" s="230" t="s">
        <v>538</v>
      </c>
      <c r="L7" s="230"/>
    </row>
    <row r="8" spans="1:12" ht="29.5" thickBot="1" x14ac:dyDescent="0.3">
      <c r="A8" s="542"/>
      <c r="B8" s="559"/>
      <c r="C8" s="11" t="s">
        <v>190</v>
      </c>
      <c r="D8" s="16" t="s">
        <v>186</v>
      </c>
      <c r="E8" s="26" t="s">
        <v>25</v>
      </c>
      <c r="F8" s="30">
        <v>10</v>
      </c>
      <c r="G8" s="30">
        <v>10</v>
      </c>
      <c r="H8" s="31" t="s">
        <v>273</v>
      </c>
      <c r="I8" s="161" t="s">
        <v>140</v>
      </c>
      <c r="J8" s="107" t="s">
        <v>5</v>
      </c>
      <c r="K8" s="230" t="s">
        <v>539</v>
      </c>
      <c r="L8" s="230"/>
    </row>
    <row r="9" spans="1:12" ht="43.5" x14ac:dyDescent="0.25">
      <c r="A9" s="542"/>
      <c r="B9" s="679" t="s">
        <v>133</v>
      </c>
      <c r="C9" s="32" t="s">
        <v>380</v>
      </c>
      <c r="D9" s="87" t="s">
        <v>189</v>
      </c>
      <c r="E9" s="88" t="s">
        <v>187</v>
      </c>
      <c r="F9" s="137"/>
      <c r="G9" s="137">
        <v>2600</v>
      </c>
      <c r="H9" s="138" t="s">
        <v>273</v>
      </c>
      <c r="I9" s="293"/>
      <c r="J9" s="104" t="s">
        <v>3</v>
      </c>
      <c r="K9" s="231" t="s">
        <v>486</v>
      </c>
      <c r="L9" s="231"/>
    </row>
    <row r="10" spans="1:12" ht="29" x14ac:dyDescent="0.25">
      <c r="A10" s="542"/>
      <c r="B10" s="684"/>
      <c r="C10" s="140" t="s">
        <v>193</v>
      </c>
      <c r="D10" s="141" t="s">
        <v>186</v>
      </c>
      <c r="E10" s="142" t="s">
        <v>188</v>
      </c>
      <c r="F10" s="143"/>
      <c r="G10" s="143">
        <v>50</v>
      </c>
      <c r="H10" s="144" t="s">
        <v>273</v>
      </c>
      <c r="I10" s="294"/>
      <c r="J10" s="18" t="s">
        <v>4</v>
      </c>
      <c r="K10" s="232" t="s">
        <v>487</v>
      </c>
      <c r="L10" s="232"/>
    </row>
    <row r="11" spans="1:12" ht="58" x14ac:dyDescent="0.25">
      <c r="A11" s="542"/>
      <c r="B11" s="684"/>
      <c r="C11" s="140" t="s">
        <v>194</v>
      </c>
      <c r="D11" s="141" t="s">
        <v>186</v>
      </c>
      <c r="E11" s="142" t="s">
        <v>25</v>
      </c>
      <c r="F11" s="143"/>
      <c r="G11" s="143">
        <v>250</v>
      </c>
      <c r="H11" s="144" t="s">
        <v>273</v>
      </c>
      <c r="I11" s="294"/>
      <c r="J11" s="18" t="s">
        <v>4</v>
      </c>
      <c r="K11" s="232" t="s">
        <v>523</v>
      </c>
      <c r="L11" s="232"/>
    </row>
    <row r="12" spans="1:12" ht="43.5" x14ac:dyDescent="0.25">
      <c r="A12" s="542"/>
      <c r="B12" s="684"/>
      <c r="C12" s="140" t="s">
        <v>195</v>
      </c>
      <c r="D12" s="141" t="s">
        <v>186</v>
      </c>
      <c r="E12" s="142" t="s">
        <v>20</v>
      </c>
      <c r="F12" s="143">
        <v>5</v>
      </c>
      <c r="G12" s="143">
        <v>5</v>
      </c>
      <c r="H12" s="144" t="s">
        <v>273</v>
      </c>
      <c r="I12" s="161" t="s">
        <v>140</v>
      </c>
      <c r="J12" s="420" t="s">
        <v>3</v>
      </c>
      <c r="K12" s="290" t="s">
        <v>540</v>
      </c>
      <c r="L12" s="290"/>
    </row>
    <row r="13" spans="1:12" ht="102" thickBot="1" x14ac:dyDescent="0.3">
      <c r="A13" s="543"/>
      <c r="B13" s="680"/>
      <c r="C13" s="66" t="s">
        <v>272</v>
      </c>
      <c r="D13" s="85" t="s">
        <v>18</v>
      </c>
      <c r="E13" s="86" t="s">
        <v>20</v>
      </c>
      <c r="F13" s="64"/>
      <c r="G13" s="291"/>
      <c r="H13" s="292" t="s">
        <v>275</v>
      </c>
      <c r="I13" s="145"/>
      <c r="J13" s="540" t="s">
        <v>3</v>
      </c>
      <c r="K13" s="233" t="s">
        <v>542</v>
      </c>
      <c r="L13" s="233"/>
    </row>
    <row r="14" spans="1:12" ht="58" x14ac:dyDescent="0.25">
      <c r="A14" s="541" t="s">
        <v>131</v>
      </c>
      <c r="B14" s="677" t="s">
        <v>134</v>
      </c>
      <c r="C14" s="57" t="s">
        <v>255</v>
      </c>
      <c r="D14" s="12" t="s">
        <v>17</v>
      </c>
      <c r="E14" s="24" t="s">
        <v>25</v>
      </c>
      <c r="F14" s="43">
        <v>1000</v>
      </c>
      <c r="G14" s="241"/>
      <c r="H14" s="39" t="s">
        <v>275</v>
      </c>
      <c r="I14" s="539" t="s">
        <v>140</v>
      </c>
      <c r="J14" s="34" t="s">
        <v>4</v>
      </c>
      <c r="K14" s="234" t="s">
        <v>436</v>
      </c>
      <c r="L14" s="234"/>
    </row>
    <row r="15" spans="1:12" ht="102" thickBot="1" x14ac:dyDescent="0.3">
      <c r="A15" s="542"/>
      <c r="B15" s="678"/>
      <c r="C15" s="115" t="s">
        <v>196</v>
      </c>
      <c r="D15" s="111" t="s">
        <v>186</v>
      </c>
      <c r="E15" s="116" t="s">
        <v>25</v>
      </c>
      <c r="F15" s="117"/>
      <c r="G15" s="117"/>
      <c r="H15" s="129"/>
      <c r="I15" s="146"/>
      <c r="J15" s="420" t="s">
        <v>3</v>
      </c>
      <c r="K15" s="235" t="s">
        <v>488</v>
      </c>
      <c r="L15" s="235"/>
    </row>
    <row r="16" spans="1:12" ht="87" x14ac:dyDescent="0.25">
      <c r="A16" s="542"/>
      <c r="B16" s="679" t="s">
        <v>135</v>
      </c>
      <c r="C16" s="32" t="s">
        <v>197</v>
      </c>
      <c r="D16" s="87" t="s">
        <v>18</v>
      </c>
      <c r="E16" s="88" t="s">
        <v>25</v>
      </c>
      <c r="F16" s="137"/>
      <c r="G16" s="137"/>
      <c r="H16" s="138" t="s">
        <v>274</v>
      </c>
      <c r="I16" s="139"/>
      <c r="J16" s="418" t="s">
        <v>3</v>
      </c>
      <c r="K16" s="231" t="s">
        <v>489</v>
      </c>
      <c r="L16" s="231"/>
    </row>
    <row r="17" spans="1:12" ht="29.5" thickBot="1" x14ac:dyDescent="0.3">
      <c r="A17" s="543"/>
      <c r="B17" s="680"/>
      <c r="C17" s="66" t="s">
        <v>198</v>
      </c>
      <c r="D17" s="85" t="s">
        <v>18</v>
      </c>
      <c r="E17" s="86" t="s">
        <v>25</v>
      </c>
      <c r="F17" s="64"/>
      <c r="G17" s="64">
        <v>50</v>
      </c>
      <c r="H17" s="65" t="s">
        <v>273</v>
      </c>
      <c r="I17" s="145"/>
      <c r="J17" s="206" t="s">
        <v>5</v>
      </c>
      <c r="K17" s="233" t="s">
        <v>490</v>
      </c>
      <c r="L17" s="233"/>
    </row>
    <row r="18" spans="1:12" ht="101.5" x14ac:dyDescent="0.25">
      <c r="A18" s="681" t="s">
        <v>136</v>
      </c>
      <c r="B18" s="556" t="s">
        <v>137</v>
      </c>
      <c r="C18" s="430" t="s">
        <v>382</v>
      </c>
      <c r="D18" s="192" t="s">
        <v>216</v>
      </c>
      <c r="E18" s="193" t="s">
        <v>20</v>
      </c>
      <c r="F18" s="431"/>
      <c r="G18" s="431"/>
      <c r="H18" s="429" t="s">
        <v>275</v>
      </c>
      <c r="I18" s="139"/>
      <c r="J18" s="418" t="s">
        <v>3</v>
      </c>
      <c r="K18" s="231" t="s">
        <v>541</v>
      </c>
      <c r="L18" s="231"/>
    </row>
    <row r="19" spans="1:12" ht="29.5" thickBot="1" x14ac:dyDescent="0.3">
      <c r="A19" s="682"/>
      <c r="B19" s="557"/>
      <c r="C19" s="11" t="s">
        <v>383</v>
      </c>
      <c r="D19" s="16" t="s">
        <v>27</v>
      </c>
      <c r="E19" s="26" t="s">
        <v>154</v>
      </c>
      <c r="F19" s="388"/>
      <c r="G19" s="388"/>
      <c r="H19" s="31" t="s">
        <v>275</v>
      </c>
      <c r="I19" s="435"/>
      <c r="J19" s="206" t="s">
        <v>5</v>
      </c>
      <c r="K19" s="215" t="s">
        <v>509</v>
      </c>
      <c r="L19" s="216"/>
    </row>
    <row r="20" spans="1:12" ht="73" thickBot="1" x14ac:dyDescent="0.3">
      <c r="A20" s="683"/>
      <c r="B20" s="278" t="s">
        <v>138</v>
      </c>
      <c r="C20" s="436" t="s">
        <v>381</v>
      </c>
      <c r="D20" s="437" t="s">
        <v>217</v>
      </c>
      <c r="E20" s="438" t="s">
        <v>25</v>
      </c>
      <c r="F20" s="439"/>
      <c r="G20" s="439"/>
      <c r="H20" s="196" t="s">
        <v>275</v>
      </c>
      <c r="I20" s="205"/>
      <c r="J20" s="421" t="s">
        <v>3</v>
      </c>
      <c r="K20" s="440" t="s">
        <v>491</v>
      </c>
      <c r="L20" s="236"/>
    </row>
    <row r="21" spans="1:12" x14ac:dyDescent="0.25">
      <c r="C21" s="9"/>
      <c r="E21" s="29"/>
    </row>
    <row r="22" spans="1:12" ht="28" x14ac:dyDescent="0.25">
      <c r="B22" s="277" t="s">
        <v>276</v>
      </c>
      <c r="E22" s="29"/>
      <c r="F22" s="2">
        <f>SUM(F6:F20)</f>
        <v>30248.2</v>
      </c>
      <c r="G22" s="2">
        <f>SUM(G6:G20)</f>
        <v>32970</v>
      </c>
    </row>
    <row r="23" spans="1:12" x14ac:dyDescent="0.25">
      <c r="B23" s="277" t="s">
        <v>277</v>
      </c>
      <c r="E23" s="29"/>
    </row>
    <row r="24" spans="1:12" x14ac:dyDescent="0.25">
      <c r="E24" s="29"/>
    </row>
    <row r="25" spans="1:12" x14ac:dyDescent="0.25">
      <c r="E25" s="29"/>
    </row>
    <row r="26" spans="1:12" x14ac:dyDescent="0.25">
      <c r="E26" s="29"/>
    </row>
    <row r="27" spans="1:12" x14ac:dyDescent="0.25">
      <c r="E27" s="29"/>
    </row>
    <row r="28" spans="1:12" x14ac:dyDescent="0.25">
      <c r="E28" s="29"/>
    </row>
    <row r="29" spans="1:12" x14ac:dyDescent="0.25">
      <c r="E29" s="29"/>
    </row>
    <row r="30" spans="1:12" x14ac:dyDescent="0.25">
      <c r="E30" s="29"/>
    </row>
    <row r="31" spans="1:12" x14ac:dyDescent="0.25">
      <c r="E31" s="29"/>
    </row>
    <row r="32" spans="1:12" x14ac:dyDescent="0.25">
      <c r="E32" s="29"/>
    </row>
    <row r="33" spans="5:5" x14ac:dyDescent="0.25">
      <c r="E33" s="29"/>
    </row>
    <row r="34" spans="5:5" x14ac:dyDescent="0.25">
      <c r="E34" s="29"/>
    </row>
    <row r="35" spans="5:5" x14ac:dyDescent="0.25">
      <c r="E35" s="29"/>
    </row>
    <row r="36" spans="5:5" x14ac:dyDescent="0.25">
      <c r="E36" s="29"/>
    </row>
    <row r="37" spans="5:5" x14ac:dyDescent="0.25">
      <c r="E37" s="29"/>
    </row>
    <row r="38" spans="5:5" x14ac:dyDescent="0.25">
      <c r="E38" s="29"/>
    </row>
    <row r="39" spans="5:5" x14ac:dyDescent="0.25">
      <c r="E39" s="29"/>
    </row>
    <row r="40" spans="5:5" x14ac:dyDescent="0.25">
      <c r="E40" s="29"/>
    </row>
    <row r="41" spans="5:5" x14ac:dyDescent="0.25">
      <c r="E41" s="29"/>
    </row>
    <row r="42" spans="5:5" x14ac:dyDescent="0.25">
      <c r="E42" s="29"/>
    </row>
    <row r="43" spans="5:5" x14ac:dyDescent="0.25">
      <c r="E43" s="29"/>
    </row>
    <row r="44" spans="5:5" x14ac:dyDescent="0.25">
      <c r="E44" s="29"/>
    </row>
    <row r="45" spans="5:5" x14ac:dyDescent="0.25">
      <c r="E45" s="29"/>
    </row>
    <row r="46" spans="5:5" x14ac:dyDescent="0.25">
      <c r="E46" s="29"/>
    </row>
    <row r="47" spans="5:5" x14ac:dyDescent="0.25">
      <c r="E47" s="29"/>
    </row>
    <row r="48" spans="5:5" x14ac:dyDescent="0.25">
      <c r="E48" s="29"/>
    </row>
    <row r="49" spans="5:5" x14ac:dyDescent="0.25">
      <c r="E49" s="29"/>
    </row>
    <row r="50" spans="5:5" x14ac:dyDescent="0.25">
      <c r="E50" s="29"/>
    </row>
    <row r="51" spans="5:5" x14ac:dyDescent="0.25">
      <c r="E51" s="29"/>
    </row>
    <row r="52" spans="5:5" x14ac:dyDescent="0.25">
      <c r="E52" s="29"/>
    </row>
    <row r="53" spans="5:5" x14ac:dyDescent="0.25">
      <c r="E53" s="29"/>
    </row>
    <row r="54" spans="5:5" x14ac:dyDescent="0.25">
      <c r="E54" s="29"/>
    </row>
    <row r="55" spans="5:5" x14ac:dyDescent="0.25">
      <c r="E55" s="29"/>
    </row>
    <row r="56" spans="5:5" x14ac:dyDescent="0.25">
      <c r="E56" s="29"/>
    </row>
    <row r="57" spans="5:5" x14ac:dyDescent="0.25">
      <c r="E57" s="29"/>
    </row>
    <row r="58" spans="5:5" x14ac:dyDescent="0.25">
      <c r="E58" s="29"/>
    </row>
    <row r="59" spans="5:5" x14ac:dyDescent="0.25">
      <c r="E59" s="29"/>
    </row>
    <row r="60" spans="5:5" x14ac:dyDescent="0.25">
      <c r="E60" s="29"/>
    </row>
    <row r="61" spans="5:5" x14ac:dyDescent="0.25">
      <c r="E61" s="29"/>
    </row>
    <row r="62" spans="5:5" x14ac:dyDescent="0.25">
      <c r="E62" s="29"/>
    </row>
    <row r="63" spans="5:5" x14ac:dyDescent="0.25">
      <c r="E63" s="29"/>
    </row>
    <row r="64" spans="5:5" x14ac:dyDescent="0.25">
      <c r="E64" s="29"/>
    </row>
    <row r="65" spans="5:5" x14ac:dyDescent="0.25">
      <c r="E65" s="29"/>
    </row>
    <row r="66" spans="5:5" x14ac:dyDescent="0.25">
      <c r="E66" s="29"/>
    </row>
    <row r="67" spans="5:5" x14ac:dyDescent="0.25">
      <c r="E67" s="29"/>
    </row>
    <row r="68" spans="5:5" x14ac:dyDescent="0.25">
      <c r="E68" s="29"/>
    </row>
    <row r="69" spans="5:5" x14ac:dyDescent="0.25">
      <c r="E69" s="29"/>
    </row>
    <row r="70" spans="5:5" x14ac:dyDescent="0.25">
      <c r="E70" s="29"/>
    </row>
    <row r="71" spans="5:5" x14ac:dyDescent="0.25">
      <c r="E71" s="29"/>
    </row>
    <row r="72" spans="5:5" x14ac:dyDescent="0.25">
      <c r="E72" s="29"/>
    </row>
    <row r="73" spans="5:5" x14ac:dyDescent="0.25">
      <c r="E73" s="29"/>
    </row>
    <row r="74" spans="5:5" x14ac:dyDescent="0.25">
      <c r="E74" s="29"/>
    </row>
    <row r="75" spans="5:5" x14ac:dyDescent="0.25">
      <c r="E75" s="29"/>
    </row>
    <row r="76" spans="5:5" x14ac:dyDescent="0.25">
      <c r="E76" s="29"/>
    </row>
    <row r="77" spans="5:5" x14ac:dyDescent="0.25">
      <c r="E77" s="29"/>
    </row>
    <row r="78" spans="5:5" x14ac:dyDescent="0.25">
      <c r="E78" s="29"/>
    </row>
    <row r="79" spans="5:5" x14ac:dyDescent="0.25">
      <c r="E79" s="29"/>
    </row>
    <row r="80" spans="5:5" x14ac:dyDescent="0.25">
      <c r="E80" s="29"/>
    </row>
    <row r="81" spans="5:5" x14ac:dyDescent="0.25">
      <c r="E81" s="29"/>
    </row>
    <row r="82" spans="5:5" x14ac:dyDescent="0.25">
      <c r="E82" s="29"/>
    </row>
    <row r="83" spans="5:5" x14ac:dyDescent="0.25">
      <c r="E83" s="29"/>
    </row>
    <row r="84" spans="5:5" x14ac:dyDescent="0.25">
      <c r="E84" s="29"/>
    </row>
    <row r="85" spans="5:5" x14ac:dyDescent="0.25">
      <c r="E85" s="29"/>
    </row>
    <row r="86" spans="5:5" x14ac:dyDescent="0.25">
      <c r="E86" s="29"/>
    </row>
    <row r="87" spans="5:5" x14ac:dyDescent="0.25">
      <c r="E87" s="29"/>
    </row>
    <row r="88" spans="5:5" x14ac:dyDescent="0.25">
      <c r="E88" s="29"/>
    </row>
    <row r="89" spans="5:5" x14ac:dyDescent="0.25">
      <c r="E89" s="29"/>
    </row>
    <row r="90" spans="5:5" x14ac:dyDescent="0.25">
      <c r="E90" s="29"/>
    </row>
    <row r="91" spans="5:5" x14ac:dyDescent="0.25">
      <c r="E91" s="29"/>
    </row>
    <row r="92" spans="5:5" x14ac:dyDescent="0.25">
      <c r="E92" s="29"/>
    </row>
    <row r="93" spans="5:5" x14ac:dyDescent="0.25">
      <c r="E93" s="29"/>
    </row>
    <row r="94" spans="5:5" x14ac:dyDescent="0.25">
      <c r="E94" s="29"/>
    </row>
    <row r="95" spans="5:5" x14ac:dyDescent="0.25">
      <c r="E95" s="29"/>
    </row>
    <row r="96" spans="5:5" x14ac:dyDescent="0.25">
      <c r="E96" s="29"/>
    </row>
    <row r="97" spans="5:5" x14ac:dyDescent="0.25">
      <c r="E97" s="29"/>
    </row>
    <row r="98" spans="5:5" x14ac:dyDescent="0.25">
      <c r="E98" s="29"/>
    </row>
    <row r="99" spans="5:5" x14ac:dyDescent="0.25">
      <c r="E99" s="29"/>
    </row>
    <row r="100" spans="5:5" x14ac:dyDescent="0.25">
      <c r="E100" s="29"/>
    </row>
    <row r="101" spans="5:5" x14ac:dyDescent="0.25">
      <c r="E101" s="29"/>
    </row>
    <row r="102" spans="5:5" x14ac:dyDescent="0.25">
      <c r="E102" s="29"/>
    </row>
    <row r="103" spans="5:5" x14ac:dyDescent="0.25">
      <c r="E103" s="29"/>
    </row>
    <row r="104" spans="5:5" x14ac:dyDescent="0.25">
      <c r="E104" s="29"/>
    </row>
    <row r="105" spans="5:5" x14ac:dyDescent="0.25">
      <c r="E105" s="29"/>
    </row>
    <row r="106" spans="5:5" x14ac:dyDescent="0.25">
      <c r="E106" s="29"/>
    </row>
    <row r="107" spans="5:5" x14ac:dyDescent="0.25">
      <c r="E107" s="29"/>
    </row>
    <row r="108" spans="5:5" x14ac:dyDescent="0.25">
      <c r="E108" s="29"/>
    </row>
    <row r="109" spans="5:5" x14ac:dyDescent="0.25">
      <c r="E109" s="29"/>
    </row>
    <row r="110" spans="5:5" x14ac:dyDescent="0.25">
      <c r="E110" s="29"/>
    </row>
    <row r="111" spans="5:5" x14ac:dyDescent="0.25">
      <c r="E111" s="29"/>
    </row>
    <row r="112" spans="5:5" x14ac:dyDescent="0.25">
      <c r="E112" s="29"/>
    </row>
    <row r="113" spans="5:5" x14ac:dyDescent="0.25">
      <c r="E113" s="29"/>
    </row>
    <row r="114" spans="5:5" x14ac:dyDescent="0.25">
      <c r="E114" s="29"/>
    </row>
    <row r="115" spans="5:5" x14ac:dyDescent="0.25">
      <c r="E115" s="29"/>
    </row>
    <row r="116" spans="5:5" x14ac:dyDescent="0.25">
      <c r="E116" s="29"/>
    </row>
    <row r="117" spans="5:5" x14ac:dyDescent="0.25">
      <c r="E117" s="29"/>
    </row>
    <row r="118" spans="5:5" x14ac:dyDescent="0.25">
      <c r="E118" s="29"/>
    </row>
    <row r="119" spans="5:5" x14ac:dyDescent="0.25">
      <c r="E119" s="29"/>
    </row>
    <row r="120" spans="5:5" x14ac:dyDescent="0.25">
      <c r="E120" s="29"/>
    </row>
    <row r="121" spans="5:5" x14ac:dyDescent="0.25">
      <c r="E121" s="29"/>
    </row>
    <row r="122" spans="5:5" x14ac:dyDescent="0.25">
      <c r="E122" s="29"/>
    </row>
    <row r="123" spans="5:5" x14ac:dyDescent="0.25">
      <c r="E123" s="29"/>
    </row>
    <row r="124" spans="5:5" x14ac:dyDescent="0.25">
      <c r="E124" s="29"/>
    </row>
    <row r="125" spans="5:5" x14ac:dyDescent="0.25">
      <c r="E125" s="29"/>
    </row>
    <row r="126" spans="5:5" x14ac:dyDescent="0.25">
      <c r="E126" s="29"/>
    </row>
    <row r="127" spans="5:5" x14ac:dyDescent="0.25">
      <c r="E127" s="29"/>
    </row>
    <row r="128" spans="5:5" x14ac:dyDescent="0.25">
      <c r="E128" s="29"/>
    </row>
    <row r="129" spans="5:5" x14ac:dyDescent="0.25">
      <c r="E129" s="29"/>
    </row>
    <row r="130" spans="5:5" x14ac:dyDescent="0.25">
      <c r="E130" s="29"/>
    </row>
    <row r="131" spans="5:5" x14ac:dyDescent="0.25">
      <c r="E131" s="29"/>
    </row>
    <row r="132" spans="5:5" x14ac:dyDescent="0.25">
      <c r="E132" s="29"/>
    </row>
    <row r="133" spans="5:5" x14ac:dyDescent="0.25">
      <c r="E133" s="29"/>
    </row>
    <row r="134" spans="5:5" x14ac:dyDescent="0.25">
      <c r="E134" s="29"/>
    </row>
    <row r="135" spans="5:5" x14ac:dyDescent="0.25">
      <c r="E135" s="29"/>
    </row>
    <row r="136" spans="5:5" x14ac:dyDescent="0.25">
      <c r="E136" s="29"/>
    </row>
    <row r="137" spans="5:5" x14ac:dyDescent="0.25">
      <c r="E137" s="29"/>
    </row>
    <row r="138" spans="5:5" x14ac:dyDescent="0.25">
      <c r="E138" s="29"/>
    </row>
    <row r="139" spans="5:5" x14ac:dyDescent="0.25">
      <c r="E139" s="29"/>
    </row>
    <row r="140" spans="5:5" x14ac:dyDescent="0.25">
      <c r="E140" s="29"/>
    </row>
    <row r="141" spans="5:5" x14ac:dyDescent="0.25">
      <c r="E141" s="29"/>
    </row>
    <row r="142" spans="5:5" x14ac:dyDescent="0.25">
      <c r="E142" s="29"/>
    </row>
    <row r="143" spans="5:5" x14ac:dyDescent="0.25">
      <c r="E143" s="29"/>
    </row>
    <row r="144" spans="5:5" x14ac:dyDescent="0.25">
      <c r="E144" s="29"/>
    </row>
    <row r="145" spans="5:5" x14ac:dyDescent="0.25">
      <c r="E145" s="29"/>
    </row>
    <row r="146" spans="5:5" x14ac:dyDescent="0.25">
      <c r="E146" s="29"/>
    </row>
    <row r="147" spans="5:5" x14ac:dyDescent="0.25">
      <c r="E147" s="29"/>
    </row>
    <row r="148" spans="5:5" x14ac:dyDescent="0.25">
      <c r="E148" s="29"/>
    </row>
    <row r="149" spans="5:5" x14ac:dyDescent="0.25">
      <c r="E149" s="29"/>
    </row>
    <row r="150" spans="5:5" x14ac:dyDescent="0.25">
      <c r="E150" s="29"/>
    </row>
    <row r="151" spans="5:5" x14ac:dyDescent="0.25">
      <c r="E151" s="29"/>
    </row>
    <row r="152" spans="5:5" x14ac:dyDescent="0.25">
      <c r="E152" s="29"/>
    </row>
    <row r="153" spans="5:5" x14ac:dyDescent="0.25">
      <c r="E153" s="29"/>
    </row>
    <row r="154" spans="5:5" x14ac:dyDescent="0.25">
      <c r="E154" s="29"/>
    </row>
    <row r="155" spans="5:5" x14ac:dyDescent="0.25">
      <c r="E155" s="29"/>
    </row>
    <row r="156" spans="5:5" x14ac:dyDescent="0.25">
      <c r="E156" s="29"/>
    </row>
    <row r="157" spans="5:5" x14ac:dyDescent="0.25">
      <c r="E157" s="29"/>
    </row>
    <row r="158" spans="5:5" x14ac:dyDescent="0.25">
      <c r="E158" s="29"/>
    </row>
    <row r="159" spans="5:5" x14ac:dyDescent="0.25">
      <c r="E159" s="29"/>
    </row>
    <row r="160" spans="5:5" x14ac:dyDescent="0.25">
      <c r="E160" s="29"/>
    </row>
    <row r="161" spans="5:5" x14ac:dyDescent="0.25">
      <c r="E161" s="29"/>
    </row>
    <row r="162" spans="5:5" x14ac:dyDescent="0.25">
      <c r="E162" s="29"/>
    </row>
    <row r="163" spans="5:5" x14ac:dyDescent="0.25">
      <c r="E163" s="29"/>
    </row>
    <row r="164" spans="5:5" x14ac:dyDescent="0.25">
      <c r="E164" s="29"/>
    </row>
    <row r="165" spans="5:5" x14ac:dyDescent="0.25">
      <c r="E165" s="29"/>
    </row>
    <row r="166" spans="5:5" x14ac:dyDescent="0.25">
      <c r="E166" s="29"/>
    </row>
    <row r="167" spans="5:5" x14ac:dyDescent="0.25">
      <c r="E167" s="29"/>
    </row>
    <row r="168" spans="5:5" x14ac:dyDescent="0.25">
      <c r="E168" s="29"/>
    </row>
    <row r="169" spans="5:5" x14ac:dyDescent="0.25">
      <c r="E169" s="29"/>
    </row>
    <row r="170" spans="5:5" x14ac:dyDescent="0.25">
      <c r="E170" s="29"/>
    </row>
    <row r="171" spans="5:5" x14ac:dyDescent="0.25">
      <c r="E171" s="29"/>
    </row>
    <row r="172" spans="5:5" x14ac:dyDescent="0.25">
      <c r="E172" s="29"/>
    </row>
    <row r="173" spans="5:5" x14ac:dyDescent="0.25">
      <c r="E173" s="29"/>
    </row>
    <row r="174" spans="5:5" x14ac:dyDescent="0.25">
      <c r="E174" s="29"/>
    </row>
    <row r="175" spans="5:5" x14ac:dyDescent="0.25">
      <c r="E175" s="29"/>
    </row>
    <row r="176" spans="5:5" x14ac:dyDescent="0.25">
      <c r="E176" s="29"/>
    </row>
    <row r="177" spans="5:5" x14ac:dyDescent="0.25">
      <c r="E177" s="29"/>
    </row>
    <row r="178" spans="5:5" x14ac:dyDescent="0.25">
      <c r="E178" s="29"/>
    </row>
    <row r="179" spans="5:5" x14ac:dyDescent="0.25">
      <c r="E179" s="29"/>
    </row>
    <row r="180" spans="5:5" x14ac:dyDescent="0.25">
      <c r="E180" s="29"/>
    </row>
    <row r="181" spans="5:5" x14ac:dyDescent="0.25">
      <c r="E181" s="29"/>
    </row>
    <row r="182" spans="5:5" x14ac:dyDescent="0.25">
      <c r="E182" s="29"/>
    </row>
    <row r="183" spans="5:5" x14ac:dyDescent="0.25">
      <c r="E183" s="29"/>
    </row>
    <row r="184" spans="5:5" x14ac:dyDescent="0.25">
      <c r="E184" s="29"/>
    </row>
    <row r="185" spans="5:5" x14ac:dyDescent="0.25">
      <c r="E185" s="29"/>
    </row>
    <row r="186" spans="5:5" x14ac:dyDescent="0.25">
      <c r="E186" s="29"/>
    </row>
    <row r="187" spans="5:5" x14ac:dyDescent="0.25">
      <c r="E187" s="29"/>
    </row>
    <row r="188" spans="5:5" x14ac:dyDescent="0.25">
      <c r="E188" s="29"/>
    </row>
    <row r="189" spans="5:5" x14ac:dyDescent="0.25">
      <c r="E189" s="29"/>
    </row>
    <row r="190" spans="5:5" x14ac:dyDescent="0.25">
      <c r="E190" s="29"/>
    </row>
    <row r="191" spans="5:5" x14ac:dyDescent="0.25">
      <c r="E191" s="29"/>
    </row>
    <row r="192" spans="5:5" x14ac:dyDescent="0.25">
      <c r="E192" s="29"/>
    </row>
    <row r="193" spans="5:5" x14ac:dyDescent="0.25">
      <c r="E193" s="29"/>
    </row>
    <row r="194" spans="5:5" x14ac:dyDescent="0.25">
      <c r="E194" s="29"/>
    </row>
    <row r="195" spans="5:5" x14ac:dyDescent="0.25">
      <c r="E195" s="29"/>
    </row>
    <row r="196" spans="5:5" x14ac:dyDescent="0.25">
      <c r="E196" s="29"/>
    </row>
    <row r="197" spans="5:5" x14ac:dyDescent="0.25">
      <c r="E197" s="29"/>
    </row>
    <row r="198" spans="5:5" x14ac:dyDescent="0.25">
      <c r="E198" s="29"/>
    </row>
    <row r="199" spans="5:5" x14ac:dyDescent="0.25">
      <c r="E199" s="29"/>
    </row>
    <row r="200" spans="5:5" x14ac:dyDescent="0.25">
      <c r="E200" s="29"/>
    </row>
    <row r="201" spans="5:5" x14ac:dyDescent="0.25">
      <c r="E201" s="29"/>
    </row>
    <row r="202" spans="5:5" x14ac:dyDescent="0.25">
      <c r="E202" s="29"/>
    </row>
    <row r="203" spans="5:5" x14ac:dyDescent="0.25">
      <c r="E203" s="29"/>
    </row>
    <row r="204" spans="5:5" x14ac:dyDescent="0.25">
      <c r="E204" s="29"/>
    </row>
    <row r="205" spans="5:5" x14ac:dyDescent="0.25">
      <c r="E205" s="29"/>
    </row>
    <row r="206" spans="5:5" x14ac:dyDescent="0.25">
      <c r="E206" s="29"/>
    </row>
    <row r="207" spans="5:5" x14ac:dyDescent="0.25">
      <c r="E207" s="29"/>
    </row>
    <row r="208" spans="5:5" x14ac:dyDescent="0.25">
      <c r="E208" s="29"/>
    </row>
    <row r="209" spans="5:5" x14ac:dyDescent="0.25">
      <c r="E209" s="29"/>
    </row>
    <row r="210" spans="5:5" x14ac:dyDescent="0.25">
      <c r="E210" s="29"/>
    </row>
    <row r="211" spans="5:5" x14ac:dyDescent="0.25">
      <c r="E211" s="29"/>
    </row>
    <row r="212" spans="5:5" x14ac:dyDescent="0.25">
      <c r="E212" s="29"/>
    </row>
    <row r="213" spans="5:5" x14ac:dyDescent="0.25">
      <c r="E213" s="29"/>
    </row>
    <row r="214" spans="5:5" x14ac:dyDescent="0.25">
      <c r="E214" s="29"/>
    </row>
    <row r="215" spans="5:5" x14ac:dyDescent="0.25">
      <c r="E215" s="29"/>
    </row>
    <row r="216" spans="5:5" x14ac:dyDescent="0.25">
      <c r="E216" s="29"/>
    </row>
    <row r="217" spans="5:5" x14ac:dyDescent="0.25">
      <c r="E217" s="29"/>
    </row>
    <row r="218" spans="5:5" x14ac:dyDescent="0.25">
      <c r="E218" s="29"/>
    </row>
    <row r="219" spans="5:5" x14ac:dyDescent="0.25">
      <c r="E219" s="29"/>
    </row>
    <row r="220" spans="5:5" x14ac:dyDescent="0.25">
      <c r="E220" s="29"/>
    </row>
    <row r="221" spans="5:5" x14ac:dyDescent="0.25">
      <c r="E221" s="29"/>
    </row>
    <row r="222" spans="5:5" x14ac:dyDescent="0.25">
      <c r="E222" s="29"/>
    </row>
    <row r="223" spans="5:5" x14ac:dyDescent="0.25">
      <c r="E223" s="29"/>
    </row>
    <row r="224" spans="5:5" x14ac:dyDescent="0.25">
      <c r="E224" s="29"/>
    </row>
    <row r="225" spans="5:5" x14ac:dyDescent="0.25">
      <c r="E225" s="29"/>
    </row>
    <row r="226" spans="5:5" x14ac:dyDescent="0.25">
      <c r="E226" s="29"/>
    </row>
    <row r="227" spans="5:5" x14ac:dyDescent="0.25">
      <c r="E227" s="29"/>
    </row>
    <row r="228" spans="5:5" x14ac:dyDescent="0.25">
      <c r="E228" s="29"/>
    </row>
    <row r="229" spans="5:5" x14ac:dyDescent="0.25">
      <c r="E229" s="29"/>
    </row>
    <row r="230" spans="5:5" x14ac:dyDescent="0.25">
      <c r="E230" s="29"/>
    </row>
    <row r="231" spans="5:5" x14ac:dyDescent="0.25">
      <c r="E231" s="29"/>
    </row>
    <row r="232" spans="5:5" x14ac:dyDescent="0.25">
      <c r="E232" s="29"/>
    </row>
    <row r="233" spans="5:5" x14ac:dyDescent="0.25">
      <c r="E233" s="29"/>
    </row>
    <row r="234" spans="5:5" x14ac:dyDescent="0.25">
      <c r="E234" s="29"/>
    </row>
  </sheetData>
  <autoFilter ref="A4:K20" xr:uid="{00000000-0009-0000-0000-000004000000}"/>
  <customSheetViews>
    <customSheetView guid="{0919DC40-70F7-46DB-9F44-D3AE0E183D1A}" showPageBreaks="1" printArea="1" showAutoFilter="1" hiddenColumns="1" showRuler="0" topLeftCell="C1">
      <selection activeCell="G7" sqref="G7"/>
      <pageMargins left="0.19685039370078741" right="0.19685039370078741" top="0.74803149606299213" bottom="0.43307086614173229" header="0.51181102362204722" footer="0.27559055118110237"/>
      <printOptions horizontalCentered="1"/>
      <pageSetup paperSize="9" orientation="landscape" r:id="rId1"/>
      <headerFooter alignWithMargins="0">
        <oddHeader>&amp;LSociální zázemí&amp;RAkční plán rozvoje města pro období 2021 - 2022</oddHeader>
        <oddFooter>&amp;C&amp;P/&amp;N</oddFooter>
      </headerFooter>
      <autoFilter ref="B1:M1" xr:uid="{A69DD946-EF8D-466F-8970-BA9FA25E4FA7}"/>
    </customSheetView>
  </customSheetViews>
  <mergeCells count="19">
    <mergeCell ref="L2:L4"/>
    <mergeCell ref="A2:A4"/>
    <mergeCell ref="B2:B4"/>
    <mergeCell ref="J2:J4"/>
    <mergeCell ref="K2:K4"/>
    <mergeCell ref="H2:H4"/>
    <mergeCell ref="C2:C4"/>
    <mergeCell ref="E2:E4"/>
    <mergeCell ref="F2:F4"/>
    <mergeCell ref="G2:G4"/>
    <mergeCell ref="A1:K1"/>
    <mergeCell ref="B14:B15"/>
    <mergeCell ref="B16:B17"/>
    <mergeCell ref="B6:B8"/>
    <mergeCell ref="B18:B19"/>
    <mergeCell ref="A18:A20"/>
    <mergeCell ref="B9:B13"/>
    <mergeCell ref="A6:A13"/>
    <mergeCell ref="A14:A17"/>
  </mergeCells>
  <phoneticPr fontId="7" type="noConversion"/>
  <printOptions horizontalCentered="1"/>
  <pageMargins left="0.23622047244094491" right="0.23622047244094491" top="0.74803149606299213" bottom="0.74803149606299213" header="0.31496062992125984" footer="0.31496062992125984"/>
  <pageSetup paperSize="9" scale="92" fitToHeight="0" orientation="landscape" r:id="rId2"/>
  <headerFooter alignWithMargins="0">
    <oddHeader>&amp;LSociální zázemí&amp;RAkční plán rozvoje města pro období 2024-2025</oddHeader>
    <oddFooter>&amp;C&amp;P/&amp;N&amp;RVyhodnocení k 31.12.2024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795FF-EE86-41FA-AADA-1CA583CA1414}">
  <dimension ref="A1:B13"/>
  <sheetViews>
    <sheetView workbookViewId="0">
      <selection activeCell="B41" sqref="B41:B42"/>
    </sheetView>
  </sheetViews>
  <sheetFormatPr defaultColWidth="8.7265625" defaultRowHeight="15.5" x14ac:dyDescent="0.35"/>
  <cols>
    <col min="1" max="1" width="60" style="411" customWidth="1"/>
    <col min="2" max="2" width="68.453125" style="411" customWidth="1"/>
    <col min="3" max="16384" width="8.7265625" style="411"/>
  </cols>
  <sheetData>
    <row r="1" spans="1:2" x14ac:dyDescent="0.35">
      <c r="A1" s="410" t="s">
        <v>404</v>
      </c>
      <c r="B1" s="410" t="s">
        <v>395</v>
      </c>
    </row>
    <row r="2" spans="1:2" x14ac:dyDescent="0.35">
      <c r="B2" s="417" t="s">
        <v>413</v>
      </c>
    </row>
    <row r="3" spans="1:2" x14ac:dyDescent="0.35">
      <c r="B3" s="417"/>
    </row>
    <row r="4" spans="1:2" x14ac:dyDescent="0.35">
      <c r="A4" s="412" t="s">
        <v>308</v>
      </c>
      <c r="B4" s="413" t="s">
        <v>384</v>
      </c>
    </row>
    <row r="5" spans="1:2" x14ac:dyDescent="0.35">
      <c r="A5" s="414" t="s">
        <v>266</v>
      </c>
      <c r="B5" s="415" t="s">
        <v>385</v>
      </c>
    </row>
    <row r="6" spans="1:2" x14ac:dyDescent="0.35">
      <c r="A6" s="414" t="s">
        <v>276</v>
      </c>
      <c r="B6" s="415" t="s">
        <v>387</v>
      </c>
    </row>
    <row r="7" spans="1:2" x14ac:dyDescent="0.35">
      <c r="A7" s="414" t="s">
        <v>397</v>
      </c>
      <c r="B7" s="415" t="s">
        <v>386</v>
      </c>
    </row>
    <row r="8" spans="1:2" x14ac:dyDescent="0.35">
      <c r="A8" s="414" t="s">
        <v>298</v>
      </c>
      <c r="B8" s="415" t="s">
        <v>390</v>
      </c>
    </row>
    <row r="9" spans="1:2" x14ac:dyDescent="0.35">
      <c r="A9" s="414" t="s">
        <v>392</v>
      </c>
      <c r="B9" s="415" t="s">
        <v>393</v>
      </c>
    </row>
    <row r="10" spans="1:2" x14ac:dyDescent="0.35">
      <c r="A10" s="414" t="s">
        <v>299</v>
      </c>
      <c r="B10" s="415" t="s">
        <v>394</v>
      </c>
    </row>
    <row r="11" spans="1:2" x14ac:dyDescent="0.35">
      <c r="A11" s="414" t="s">
        <v>310</v>
      </c>
      <c r="B11" s="416"/>
    </row>
    <row r="12" spans="1:2" x14ac:dyDescent="0.35">
      <c r="A12" s="414" t="s">
        <v>316</v>
      </c>
      <c r="B12" s="415" t="s">
        <v>389</v>
      </c>
    </row>
    <row r="13" spans="1:2" x14ac:dyDescent="0.35">
      <c r="A13" s="414" t="s">
        <v>277</v>
      </c>
      <c r="B13" s="415" t="s">
        <v>388</v>
      </c>
    </row>
  </sheetData>
  <sortState xmlns:xlrd2="http://schemas.microsoft.com/office/spreadsheetml/2017/richdata2" ref="A4:A13">
    <sortCondition ref="A4:A13"/>
  </sortState>
  <hyperlinks>
    <hyperlink ref="B4" r:id="rId1" xr:uid="{C589B9DB-F2B1-4AAF-BB3C-892E2755100D}"/>
    <hyperlink ref="B5" r:id="rId2" xr:uid="{12F24AF3-B4F0-4B20-B7A7-871E80B28D9D}"/>
    <hyperlink ref="B7" r:id="rId3" xr:uid="{C90EC35B-5C25-43D9-9705-BCC58A931C99}"/>
    <hyperlink ref="B6" r:id="rId4" xr:uid="{9D9350FB-CF0E-47F6-AE82-17D151CD45CB}"/>
    <hyperlink ref="B13" r:id="rId5" xr:uid="{FFEE78DD-3BE4-4CEA-8A8B-DC1592885694}"/>
    <hyperlink ref="B12" r:id="rId6" xr:uid="{424DC859-8593-4573-AC92-9D4C160F53E1}"/>
    <hyperlink ref="B8" r:id="rId7" xr:uid="{F95EFA6C-B581-48F1-BD93-E25A12603AE0}"/>
    <hyperlink ref="B9" r:id="rId8" xr:uid="{D8118209-12DD-4D08-827E-4FF64D3E89C4}"/>
    <hyperlink ref="B10" r:id="rId9" xr:uid="{5A58F8EE-F2CD-48EB-AD69-9FA191242A1C}"/>
    <hyperlink ref="B2" r:id="rId10" xr:uid="{68619CFA-1F4F-4498-B835-2B847EA7ACAF}"/>
  </hyperlinks>
  <pageMargins left="0.7" right="0.7" top="0.78740157499999996" bottom="0.78740157499999996" header="0.3" footer="0.3"/>
  <pageSetup paperSize="9" orientation="landscape"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6"/>
  <sheetViews>
    <sheetView topLeftCell="A7" zoomScale="90" zoomScaleNormal="90" workbookViewId="0">
      <selection activeCell="A18" sqref="A18"/>
    </sheetView>
  </sheetViews>
  <sheetFormatPr defaultRowHeight="31.15" customHeight="1" x14ac:dyDescent="0.25"/>
  <cols>
    <col min="1" max="1" width="83.26953125" customWidth="1"/>
    <col min="3" max="3" width="78.54296875" bestFit="1" customWidth="1"/>
  </cols>
  <sheetData>
    <row r="1" spans="1:3" ht="31.15" customHeight="1" x14ac:dyDescent="0.25">
      <c r="A1" s="131" t="s">
        <v>129</v>
      </c>
      <c r="B1" s="14" t="s">
        <v>17</v>
      </c>
      <c r="C1" s="92" t="s">
        <v>166</v>
      </c>
    </row>
    <row r="2" spans="1:3" ht="31.15" customHeight="1" x14ac:dyDescent="0.25">
      <c r="A2" s="131" t="s">
        <v>102</v>
      </c>
      <c r="B2" s="14" t="s">
        <v>17</v>
      </c>
      <c r="C2" s="92" t="s">
        <v>167</v>
      </c>
    </row>
    <row r="3" spans="1:3" ht="31.15" customHeight="1" x14ac:dyDescent="0.25">
      <c r="A3" s="131" t="s">
        <v>1</v>
      </c>
      <c r="B3" s="14" t="s">
        <v>14</v>
      </c>
      <c r="C3" s="92" t="s">
        <v>168</v>
      </c>
    </row>
    <row r="4" spans="1:3" ht="31.15" customHeight="1" x14ac:dyDescent="0.25">
      <c r="A4" s="131" t="s">
        <v>104</v>
      </c>
      <c r="B4" s="14" t="s">
        <v>105</v>
      </c>
      <c r="C4" s="92" t="s">
        <v>167</v>
      </c>
    </row>
    <row r="5" spans="1:3" ht="31.15" customHeight="1" x14ac:dyDescent="0.25">
      <c r="A5" s="131" t="s">
        <v>162</v>
      </c>
      <c r="B5" s="14" t="s">
        <v>27</v>
      </c>
      <c r="C5" s="92" t="s">
        <v>167</v>
      </c>
    </row>
    <row r="6" spans="1:3" ht="31.15" customHeight="1" x14ac:dyDescent="0.25">
      <c r="A6" s="131" t="s">
        <v>108</v>
      </c>
      <c r="B6" s="14" t="s">
        <v>109</v>
      </c>
      <c r="C6" s="92" t="s">
        <v>168</v>
      </c>
    </row>
    <row r="7" spans="1:3" ht="31.15" customHeight="1" x14ac:dyDescent="0.25">
      <c r="A7" s="131" t="s">
        <v>159</v>
      </c>
      <c r="B7" s="14" t="s">
        <v>17</v>
      </c>
      <c r="C7" s="92" t="s">
        <v>169</v>
      </c>
    </row>
    <row r="8" spans="1:3" ht="31.15" customHeight="1" x14ac:dyDescent="0.25">
      <c r="A8" s="108"/>
      <c r="B8" s="14"/>
    </row>
    <row r="9" spans="1:3" ht="31.15" customHeight="1" x14ac:dyDescent="0.25">
      <c r="A9" s="10" t="s">
        <v>37</v>
      </c>
      <c r="B9" s="14" t="s">
        <v>17</v>
      </c>
      <c r="C9" s="92" t="s">
        <v>170</v>
      </c>
    </row>
    <row r="10" spans="1:3" ht="31.15" customHeight="1" thickBot="1" x14ac:dyDescent="0.3">
      <c r="A10" s="10" t="s">
        <v>8</v>
      </c>
      <c r="B10" s="14" t="s">
        <v>17</v>
      </c>
      <c r="C10" s="92" t="s">
        <v>171</v>
      </c>
    </row>
    <row r="11" spans="1:3" ht="31.15" customHeight="1" x14ac:dyDescent="0.25">
      <c r="A11" s="57" t="s">
        <v>119</v>
      </c>
      <c r="B11" s="14" t="s">
        <v>17</v>
      </c>
      <c r="C11">
        <v>2024</v>
      </c>
    </row>
    <row r="12" spans="1:3" ht="31.15" customHeight="1" x14ac:dyDescent="0.25">
      <c r="A12" s="10" t="s">
        <v>120</v>
      </c>
      <c r="B12" s="14" t="s">
        <v>17</v>
      </c>
      <c r="C12" s="92" t="s">
        <v>168</v>
      </c>
    </row>
    <row r="13" spans="1:3" ht="31.15" customHeight="1" x14ac:dyDescent="0.25">
      <c r="A13" s="136" t="s">
        <v>113</v>
      </c>
      <c r="B13" s="14" t="s">
        <v>17</v>
      </c>
      <c r="C13" s="92" t="s">
        <v>172</v>
      </c>
    </row>
    <row r="14" spans="1:3" ht="31.15" customHeight="1" x14ac:dyDescent="0.25">
      <c r="A14" s="136" t="s">
        <v>118</v>
      </c>
      <c r="B14" s="14" t="s">
        <v>17</v>
      </c>
      <c r="C14">
        <v>2024</v>
      </c>
    </row>
    <row r="15" spans="1:3" ht="31.15" customHeight="1" x14ac:dyDescent="0.25">
      <c r="A15" s="136" t="s">
        <v>116</v>
      </c>
      <c r="B15" s="14" t="s">
        <v>17</v>
      </c>
      <c r="C15" s="92" t="s">
        <v>173</v>
      </c>
    </row>
    <row r="16" spans="1:3" ht="31.15" customHeight="1" x14ac:dyDescent="0.25">
      <c r="A16" s="136" t="s">
        <v>117</v>
      </c>
      <c r="B16" s="14" t="s">
        <v>17</v>
      </c>
      <c r="C16" s="92" t="s">
        <v>174</v>
      </c>
    </row>
    <row r="17" spans="1:4" ht="31.15" customHeight="1" thickBot="1" x14ac:dyDescent="0.3">
      <c r="A17" s="20" t="s">
        <v>33</v>
      </c>
      <c r="B17" s="14" t="s">
        <v>163</v>
      </c>
      <c r="C17" s="92" t="s">
        <v>168</v>
      </c>
    </row>
    <row r="18" spans="1:4" ht="31.15" customHeight="1" thickBot="1" x14ac:dyDescent="0.3">
      <c r="A18" s="57" t="s">
        <v>161</v>
      </c>
      <c r="B18" s="12" t="s">
        <v>123</v>
      </c>
      <c r="C18" s="92" t="s">
        <v>168</v>
      </c>
      <c r="D18" s="92" t="s">
        <v>164</v>
      </c>
    </row>
    <row r="19" spans="1:4" ht="31.15" customHeight="1" x14ac:dyDescent="0.25">
      <c r="A19" s="57" t="s">
        <v>126</v>
      </c>
      <c r="B19" s="12" t="s">
        <v>123</v>
      </c>
      <c r="C19" s="92" t="s">
        <v>168</v>
      </c>
    </row>
    <row r="20" spans="1:4" ht="31.15" customHeight="1" x14ac:dyDescent="0.25">
      <c r="A20" s="10" t="s">
        <v>127</v>
      </c>
      <c r="B20" s="14" t="s">
        <v>123</v>
      </c>
      <c r="C20" s="92" t="s">
        <v>103</v>
      </c>
    </row>
    <row r="21" spans="1:4" ht="31.15" customHeight="1" thickBot="1" x14ac:dyDescent="0.3">
      <c r="A21" s="103" t="s">
        <v>35</v>
      </c>
      <c r="B21" s="72" t="s">
        <v>14</v>
      </c>
      <c r="C21" s="92" t="s">
        <v>175</v>
      </c>
    </row>
    <row r="22" spans="1:4" ht="31.15" customHeight="1" x14ac:dyDescent="0.25">
      <c r="A22" s="57" t="s">
        <v>124</v>
      </c>
      <c r="B22" s="12" t="s">
        <v>17</v>
      </c>
    </row>
    <row r="23" spans="1:4" ht="31.15" customHeight="1" x14ac:dyDescent="0.25">
      <c r="A23" s="10" t="s">
        <v>125</v>
      </c>
      <c r="B23" s="14" t="s">
        <v>17</v>
      </c>
    </row>
    <row r="25" spans="1:4" ht="31.15" customHeight="1" x14ac:dyDescent="0.25">
      <c r="A25" s="67" t="s">
        <v>176</v>
      </c>
    </row>
    <row r="26" spans="1:4" ht="31.15" customHeight="1" x14ac:dyDescent="0.25">
      <c r="A26" s="67" t="s">
        <v>177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7</vt:i4>
      </vt:variant>
      <vt:variant>
        <vt:lpstr>Pojmenované oblasti</vt:lpstr>
      </vt:variant>
      <vt:variant>
        <vt:i4>8</vt:i4>
      </vt:variant>
    </vt:vector>
  </HeadingPairs>
  <TitlesOfParts>
    <vt:vector size="15" baseType="lpstr">
      <vt:lpstr>Úvod</vt:lpstr>
      <vt:lpstr>A.Ekonomika</vt:lpstr>
      <vt:lpstr>B.Image</vt:lpstr>
      <vt:lpstr>C. Vyvážený rozvoj</vt:lpstr>
      <vt:lpstr>D.Soc</vt:lpstr>
      <vt:lpstr>Legenda koncepce</vt:lpstr>
      <vt:lpstr>K řešení</vt:lpstr>
      <vt:lpstr>A.Ekonomika!Názvy_tisku</vt:lpstr>
      <vt:lpstr>B.Image!Názvy_tisku</vt:lpstr>
      <vt:lpstr>'C. Vyvážený rozvoj'!Názvy_tisku</vt:lpstr>
      <vt:lpstr>D.Soc!Názvy_tisku</vt:lpstr>
      <vt:lpstr>A.Ekonomika!Oblast_tisku</vt:lpstr>
      <vt:lpstr>B.Image!Oblast_tisku</vt:lpstr>
      <vt:lpstr>'C. Vyvážený rozvoj'!Oblast_tisku</vt:lpstr>
      <vt:lpstr>D.Soc!Oblast_tisku</vt:lpstr>
    </vt:vector>
  </TitlesOfParts>
  <Company>Město Kopřivnice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Šimečková Lenka</dc:creator>
  <cp:lastModifiedBy>Lenka Šimečková</cp:lastModifiedBy>
  <cp:lastPrinted>2025-03-10T11:26:17Z</cp:lastPrinted>
  <dcterms:created xsi:type="dcterms:W3CDTF">2015-01-18T19:36:36Z</dcterms:created>
  <dcterms:modified xsi:type="dcterms:W3CDTF">2025-03-10T11:26:31Z</dcterms:modified>
</cp:coreProperties>
</file>